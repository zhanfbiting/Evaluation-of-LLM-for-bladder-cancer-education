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140" firstSheet="6" activeTab="10"/>
  </bookViews>
  <sheets>
    <sheet name="Risk_themes" sheetId="2" r:id="rId1"/>
    <sheet name="Saaty_scale" sheetId="3" r:id="rId2"/>
    <sheet name="Expert_1_blank" sheetId="4" r:id="rId3"/>
    <sheet name="Expert_2_blank" sheetId="5" r:id="rId4"/>
    <sheet name="Expert_3_blank" sheetId="6" r:id="rId5"/>
    <sheet name="expert_1" sheetId="7" r:id="rId6"/>
    <sheet name="expert_2" sheetId="8" r:id="rId7"/>
    <sheet name="expert_3" sheetId="9" r:id="rId8"/>
    <sheet name="Current_group_geometric_mean" sheetId="10" r:id="rId9"/>
    <sheet name="Weights_and_CR" sheetId="11" r:id="rId10"/>
    <sheet name="Final_group_weight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<sst xmlns="http://schemas.openxmlformats.org/spreadsheetml/2006/main" count="487" uniqueCount="73">
  <si>
    <t>Risk Themes Used as AHP Criteria</t>
  </si>
  <si>
    <t>Code</t>
  </si>
  <si>
    <t>Chinese label</t>
  </si>
  <si>
    <t>English label</t>
  </si>
  <si>
    <t>R1</t>
  </si>
  <si>
    <t>部分数据、分类或表述可能不准确</t>
  </si>
  <si>
    <t>Potentially inaccurate data, classification, or wording</t>
  </si>
  <si>
    <t>R2</t>
  </si>
  <si>
    <t>未充分说明副作用、风险或随访细节</t>
  </si>
  <si>
    <t>Insufficient adverse-effect, risk, or follow-up details</t>
  </si>
  <si>
    <t>R3</t>
  </si>
  <si>
    <t>未充分说明不确定性或证据等级</t>
  </si>
  <si>
    <t>Insufficient uncertainty or evidence grading</t>
  </si>
  <si>
    <t>R4</t>
  </si>
  <si>
    <t>未充分说明检查局限性或适用条件</t>
  </si>
  <si>
    <t>Insufficient explanation of examination limitations or applicability</t>
  </si>
  <si>
    <t>R5</t>
  </si>
  <si>
    <t>用词较绝对，可能忽视个体差异</t>
  </si>
  <si>
    <t>Overly absolute wording that may overlook individual differences</t>
  </si>
  <si>
    <t>R6</t>
  </si>
  <si>
    <t>个体化建议不足</t>
  </si>
  <si>
    <t>Insufficient individualization</t>
  </si>
  <si>
    <t>R7</t>
  </si>
  <si>
    <t>缺乏证据来源或指南引用</t>
  </si>
  <si>
    <t>Lack of evidence sources or guideline citations</t>
  </si>
  <si>
    <t>R8</t>
  </si>
  <si>
    <t>未标注信息时效或更新日期</t>
  </si>
  <si>
    <t>Lack of timeliness or update statements</t>
  </si>
  <si>
    <t>R9</t>
  </si>
  <si>
    <t>未提供额外支持资源或就医渠道</t>
  </si>
  <si>
    <t>Lack of additional support resources or care pathways</t>
  </si>
  <si>
    <t>Saaty 1-9 Pairwise Comparison Scale</t>
  </si>
  <si>
    <t>Value to enter</t>
  </si>
  <si>
    <t>Meaning when row criterion is compared with column criterion</t>
  </si>
  <si>
    <t>1</t>
  </si>
  <si>
    <t>Equal importance</t>
  </si>
  <si>
    <t>2</t>
  </si>
  <si>
    <t>Intermediate value between equal and slight/moderate importance</t>
  </si>
  <si>
    <t>3</t>
  </si>
  <si>
    <t>Slight/moderate importance of row criterion over column criterion</t>
  </si>
  <si>
    <t>4</t>
  </si>
  <si>
    <t>Intermediate value</t>
  </si>
  <si>
    <t>5</t>
  </si>
  <si>
    <t>Strong importance of row criterion over column criterion</t>
  </si>
  <si>
    <t>6</t>
  </si>
  <si>
    <t>7</t>
  </si>
  <si>
    <t>Very strong importance of row criterion over column criterion</t>
  </si>
  <si>
    <t>8</t>
  </si>
  <si>
    <t>9</t>
  </si>
  <si>
    <t>Extreme importance of row criterion over column criterion</t>
  </si>
  <si>
    <t>1/2 to 1/9</t>
  </si>
  <si>
    <t>Use the reciprocal when the column criterion is more important than the row criterion</t>
  </si>
  <si>
    <t>Expert_1: Expert Judgment Form</t>
  </si>
  <si>
    <t>Criteria</t>
  </si>
  <si>
    <t>Criterion code reference</t>
  </si>
  <si>
    <t xml:space="preserve">Expert_2: Expert Judgment Form </t>
  </si>
  <si>
    <t xml:space="preserve">Expert_3: Expert Judgment Form </t>
  </si>
  <si>
    <t>expert_1</t>
  </si>
  <si>
    <t>expert_2</t>
  </si>
  <si>
    <t>expert_3</t>
  </si>
  <si>
    <t>group_geometric_mean</t>
  </si>
  <si>
    <t>AHP Weights and Consistency Metrics</t>
  </si>
  <si>
    <t>Matrix source</t>
  </si>
  <si>
    <t>lambda_max</t>
  </si>
  <si>
    <t>CI</t>
  </si>
  <si>
    <t>RI</t>
  </si>
  <si>
    <t>CR</t>
  </si>
  <si>
    <t>Passed CR &lt; 0.10</t>
  </si>
  <si>
    <t>Risk theme weights by matrix source</t>
  </si>
  <si>
    <t>Final Group AHP Weights</t>
  </si>
  <si>
    <t>Rank</t>
  </si>
  <si>
    <t>Weight</t>
  </si>
  <si>
    <t>Weight percent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</si>
</sst>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color theme="1"/>
      <name val="宋体"/>
      <charset val="134"/>
      <scheme val="minor"/>
    </font>
    <font>
      <b/>
      <sz val="16"/>
      <color rgb="FF1F4E79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color rgb="FF1F4E79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7" borderId="5">
      <alignment vertical="center"/>
    </xf>
    <xf numFmtId="0" fontId="15" fillId="3" borderId="6">
      <alignment vertical="center"/>
    </xf>
    <xf numFmtId="0" fontId="16" fillId="3" borderId="5">
      <alignment vertical="center"/>
    </xf>
    <xf numFmtId="0" fontId="17" fillId="8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176" fontId="0" fillId="0" borderId="1" xfId="0" applyNumberFormat="1" applyBorder="1" applyAlignment="1">
      <alignment horizontal="left" vertical="center" wrapText="1"/>
    </xf>
    <xf numFmtId="2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3" fillId="0" borderId="0" xfId="0" applyFont="1"/>
    <xf numFmtId="176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C12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10" customWidth="1"/>
    <col min="2" max="2" width="42" customWidth="1"/>
    <col min="3" max="3" width="70" customWidth="1"/>
  </cols>
  <sheetData>
    <row r="1" ht="23.2" customHeight="1" spans="1:3">
      <c r="A1" s="1" t="s">
        <v>0</v>
      </c>
    </row>
    <row r="3" ht="17" customHeight="1" spans="1:3">
      <c r="A3" s="2" t="s">
        <v>1</v>
      </c>
      <c r="B3" s="2" t="s">
        <v>2</v>
      </c>
      <c r="C3" s="2" t="s">
        <v>3</v>
      </c>
    </row>
    <row r="4" ht="17" customHeight="1" spans="1:3">
      <c r="A4" s="4" t="s">
        <v>4</v>
      </c>
      <c r="B4" s="4" t="s">
        <v>5</v>
      </c>
      <c r="C4" s="4" t="s">
        <v>6</v>
      </c>
    </row>
    <row r="5" ht="17" customHeight="1" spans="1:3">
      <c r="A5" s="4" t="s">
        <v>7</v>
      </c>
      <c r="B5" s="4" t="s">
        <v>8</v>
      </c>
      <c r="C5" s="4" t="s">
        <v>9</v>
      </c>
    </row>
    <row r="6" ht="17" customHeight="1" spans="1:3">
      <c r="A6" s="4" t="s">
        <v>10</v>
      </c>
      <c r="B6" s="4" t="s">
        <v>11</v>
      </c>
      <c r="C6" s="4" t="s">
        <v>12</v>
      </c>
    </row>
    <row r="7" ht="17" customHeight="1" spans="1:3">
      <c r="A7" s="4" t="s">
        <v>13</v>
      </c>
      <c r="B7" s="4" t="s">
        <v>14</v>
      </c>
      <c r="C7" s="4" t="s">
        <v>15</v>
      </c>
    </row>
    <row r="8" ht="17" customHeight="1" spans="1:3">
      <c r="A8" s="4" t="s">
        <v>16</v>
      </c>
      <c r="B8" s="4" t="s">
        <v>17</v>
      </c>
      <c r="C8" s="4" t="s">
        <v>18</v>
      </c>
    </row>
    <row r="9" ht="17" customHeight="1" spans="1:3">
      <c r="A9" s="4" t="s">
        <v>19</v>
      </c>
      <c r="B9" s="4" t="s">
        <v>20</v>
      </c>
      <c r="C9" s="4" t="s">
        <v>21</v>
      </c>
    </row>
    <row r="10" ht="17" customHeight="1" spans="1:3">
      <c r="A10" s="4" t="s">
        <v>22</v>
      </c>
      <c r="B10" s="4" t="s">
        <v>23</v>
      </c>
      <c r="C10" s="4" t="s">
        <v>24</v>
      </c>
    </row>
    <row r="11" ht="17" customHeight="1" spans="1:3">
      <c r="A11" s="4" t="s">
        <v>25</v>
      </c>
      <c r="B11" s="4" t="s">
        <v>26</v>
      </c>
      <c r="C11" s="4" t="s">
        <v>27</v>
      </c>
    </row>
    <row r="12" ht="17" customHeight="1" spans="1:3">
      <c r="A12" s="4" t="s">
        <v>28</v>
      </c>
      <c r="B12" s="4" t="s">
        <v>29</v>
      </c>
      <c r="C12" s="4" t="s">
        <v>30</v>
      </c>
    </row>
  </sheetData>
  <pageMargins left="0.4" right="0.4" top="0.5" bottom="0.5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B13"/>
  <sheetViews>
    <sheetView showGridLines="0" workbookViewId="0">
      <selection activeCell="A1" sqref="A1"/>
    </sheetView>
  </sheetViews>
  <sheetFormatPr defaultColWidth="9" defaultRowHeight="16.8" outlineLevelCol="1"/>
  <cols>
    <col min="1" max="1" width="22" customWidth="1"/>
    <col min="2" max="2" width="95" customWidth="1"/>
  </cols>
  <sheetData>
    <row r="1" ht="23.2" customHeight="1" spans="1:2">
      <c r="A1" s="1" t="s">
        <v>31</v>
      </c>
    </row>
    <row r="3" ht="17" customHeight="1" spans="1:2">
      <c r="A3" s="2" t="s">
        <v>32</v>
      </c>
      <c r="B3" s="2" t="s">
        <v>33</v>
      </c>
    </row>
    <row r="4" ht="17" customHeight="1" spans="1:2">
      <c r="A4" s="4" t="s">
        <v>34</v>
      </c>
      <c r="B4" s="4" t="s">
        <v>35</v>
      </c>
    </row>
    <row r="5" ht="17" customHeight="1" spans="1:2">
      <c r="A5" s="4" t="s">
        <v>36</v>
      </c>
      <c r="B5" s="4" t="s">
        <v>37</v>
      </c>
    </row>
    <row r="6" ht="17" customHeight="1" spans="1:2">
      <c r="A6" s="4" t="s">
        <v>38</v>
      </c>
      <c r="B6" s="4" t="s">
        <v>39</v>
      </c>
    </row>
    <row r="7" ht="17" customHeight="1" spans="1:2">
      <c r="A7" s="4" t="s">
        <v>40</v>
      </c>
      <c r="B7" s="4" t="s">
        <v>41</v>
      </c>
    </row>
    <row r="8" ht="17" customHeight="1" spans="1:2">
      <c r="A8" s="4" t="s">
        <v>42</v>
      </c>
      <c r="B8" s="4" t="s">
        <v>43</v>
      </c>
    </row>
    <row r="9" ht="17" customHeight="1" spans="1:2">
      <c r="A9" s="4" t="s">
        <v>44</v>
      </c>
      <c r="B9" s="4" t="s">
        <v>41</v>
      </c>
    </row>
    <row r="10" ht="17" customHeight="1" spans="1:2">
      <c r="A10" s="4" t="s">
        <v>45</v>
      </c>
      <c r="B10" s="4" t="s">
        <v>46</v>
      </c>
    </row>
    <row r="11" ht="17" customHeight="1" spans="1:2">
      <c r="A11" s="4" t="s">
        <v>47</v>
      </c>
      <c r="B11" s="4" t="s">
        <v>41</v>
      </c>
    </row>
    <row r="12" ht="17" customHeight="1" spans="1:2">
      <c r="A12" s="4" t="s">
        <v>48</v>
      </c>
      <c r="B12" s="4" t="s">
        <v>49</v>
      </c>
    </row>
    <row r="13" ht="17" customHeight="1" spans="1:2">
      <c r="A13" s="4" t="s">
        <v>50</v>
      </c>
      <c r="B13" s="4" t="s">
        <v>51</v>
      </c>
    </row>
  </sheetData>
  <pageMargins left="0.4" right="0.4" top="0.5" bottom="0.5" header="0.5" footer="0.5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6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22" customWidth="1"/>
    <col min="2" max="2" width="56.4134615384615" customWidth="1"/>
    <col min="3" max="11" width="12" customWidth="1"/>
    <col min="12" max="12" width="42" customWidth="1"/>
    <col min="13" max="13" width="68" customWidth="1"/>
  </cols>
  <sheetData>
    <row r="1" ht="23.2" customHeight="1" spans="1:11">
      <c r="A1" s="1" t="s">
        <v>52</v>
      </c>
    </row>
    <row r="4" ht="24" customHeight="1" spans="1:11">
      <c r="B4" s="11" t="s">
        <v>53</v>
      </c>
      <c r="C4" s="12" t="s">
        <v>4</v>
      </c>
      <c r="D4" s="12" t="s">
        <v>7</v>
      </c>
      <c r="E4" s="12" t="s">
        <v>10</v>
      </c>
      <c r="F4" s="12" t="s">
        <v>13</v>
      </c>
      <c r="G4" s="12" t="s">
        <v>16</v>
      </c>
      <c r="H4" s="12" t="s">
        <v>19</v>
      </c>
      <c r="I4" s="12" t="s">
        <v>22</v>
      </c>
      <c r="J4" s="12" t="s">
        <v>25</v>
      </c>
      <c r="K4" s="12" t="s">
        <v>28</v>
      </c>
    </row>
    <row r="5" ht="24" customHeight="1" spans="1:11">
      <c r="B5" s="12" t="s">
        <v>4</v>
      </c>
      <c r="C5" s="13">
        <v>1</v>
      </c>
      <c r="D5" s="14">
        <v>1</v>
      </c>
      <c r="E5" s="14">
        <v>1</v>
      </c>
      <c r="F5" s="14">
        <v>2</v>
      </c>
      <c r="G5" s="14">
        <v>2</v>
      </c>
      <c r="H5" s="14">
        <v>2</v>
      </c>
      <c r="I5" s="14">
        <v>2</v>
      </c>
      <c r="J5" s="14">
        <v>4</v>
      </c>
      <c r="K5" s="14">
        <v>7</v>
      </c>
    </row>
    <row r="6" ht="24" customHeight="1" spans="1:11">
      <c r="B6" s="12" t="s">
        <v>7</v>
      </c>
      <c r="C6" s="15">
        <f>IF(D5="","",1/D5)</f>
        <v>1</v>
      </c>
      <c r="D6" s="13">
        <v>1</v>
      </c>
      <c r="E6" s="14">
        <v>1</v>
      </c>
      <c r="F6" s="14">
        <v>1</v>
      </c>
      <c r="G6" s="14">
        <v>2</v>
      </c>
      <c r="H6" s="14">
        <v>2</v>
      </c>
      <c r="I6" s="14">
        <v>2</v>
      </c>
      <c r="J6" s="14">
        <v>3</v>
      </c>
      <c r="K6" s="14">
        <v>6</v>
      </c>
    </row>
    <row r="7" ht="24" customHeight="1" spans="1:11">
      <c r="B7" s="12" t="s">
        <v>10</v>
      </c>
      <c r="C7" s="15">
        <f>IF(E5="","",1/E5)</f>
        <v>1</v>
      </c>
      <c r="D7" s="15">
        <f>IF(E6="","",1/E6)</f>
        <v>1</v>
      </c>
      <c r="E7" s="13">
        <v>1</v>
      </c>
      <c r="F7" s="14">
        <v>1</v>
      </c>
      <c r="G7" s="14">
        <v>1</v>
      </c>
      <c r="H7" s="14">
        <v>1</v>
      </c>
      <c r="I7" s="14">
        <v>2</v>
      </c>
      <c r="J7" s="14">
        <v>3</v>
      </c>
      <c r="K7" s="14">
        <v>5</v>
      </c>
    </row>
    <row r="8" ht="24" customHeight="1" spans="1:11">
      <c r="B8" s="12" t="s">
        <v>13</v>
      </c>
      <c r="C8" s="15">
        <f>IF(F5="","",1/F5)</f>
        <v>0.5</v>
      </c>
      <c r="D8" s="15">
        <f>IF(F6="","",1/F6)</f>
        <v>1</v>
      </c>
      <c r="E8" s="15">
        <f>IF(F7="","",1/F7)</f>
        <v>1</v>
      </c>
      <c r="F8" s="13">
        <v>1</v>
      </c>
      <c r="G8" s="14">
        <v>1</v>
      </c>
      <c r="H8" s="14">
        <v>1</v>
      </c>
      <c r="I8" s="14">
        <v>1</v>
      </c>
      <c r="J8" s="14">
        <v>2</v>
      </c>
      <c r="K8" s="14">
        <v>4</v>
      </c>
    </row>
    <row r="9" ht="24" customHeight="1" spans="1:11">
      <c r="B9" s="12" t="s">
        <v>16</v>
      </c>
      <c r="C9" s="15">
        <f>IF(G5="","",1/G5)</f>
        <v>0.5</v>
      </c>
      <c r="D9" s="15">
        <f>IF(G6="","",1/G6)</f>
        <v>0.5</v>
      </c>
      <c r="E9" s="15">
        <f>IF(G7="","",1/G7)</f>
        <v>1</v>
      </c>
      <c r="F9" s="15">
        <f>IF(G8="","",1/G8)</f>
        <v>1</v>
      </c>
      <c r="G9" s="13">
        <v>1</v>
      </c>
      <c r="H9" s="14">
        <v>1</v>
      </c>
      <c r="I9" s="14">
        <v>1</v>
      </c>
      <c r="J9" s="14">
        <v>2</v>
      </c>
      <c r="K9" s="14">
        <v>3</v>
      </c>
    </row>
    <row r="10" ht="24" customHeight="1" spans="1:11">
      <c r="B10" s="12" t="s">
        <v>19</v>
      </c>
      <c r="C10" s="15">
        <f>IF(H5="","",1/H5)</f>
        <v>0.5</v>
      </c>
      <c r="D10" s="15">
        <f>IF(H6="","",1/H6)</f>
        <v>0.5</v>
      </c>
      <c r="E10" s="15">
        <f>IF(H7="","",1/H7)</f>
        <v>1</v>
      </c>
      <c r="F10" s="15">
        <f>IF(H8="","",1/H8)</f>
        <v>1</v>
      </c>
      <c r="G10" s="15">
        <f>IF(H9="","",1/H9)</f>
        <v>1</v>
      </c>
      <c r="H10" s="13">
        <v>1</v>
      </c>
      <c r="I10" s="14">
        <v>1</v>
      </c>
      <c r="J10" s="14">
        <v>2</v>
      </c>
      <c r="K10" s="14">
        <v>3</v>
      </c>
    </row>
    <row r="11" ht="24" customHeight="1" spans="1:11">
      <c r="B11" s="12" t="s">
        <v>22</v>
      </c>
      <c r="C11" s="15">
        <f>IF(I5="","",1/I5)</f>
        <v>0.5</v>
      </c>
      <c r="D11" s="15">
        <f>IF(I6="","",1/I6)</f>
        <v>0.5</v>
      </c>
      <c r="E11" s="15">
        <f>IF(I7="","",1/I7)</f>
        <v>0.5</v>
      </c>
      <c r="F11" s="15">
        <f>IF(I8="","",1/I8)</f>
        <v>1</v>
      </c>
      <c r="G11" s="15">
        <f>IF(I9="","",1/I9)</f>
        <v>1</v>
      </c>
      <c r="H11" s="15">
        <f>IF(I10="","",1/I10)</f>
        <v>1</v>
      </c>
      <c r="I11" s="13">
        <v>1</v>
      </c>
      <c r="J11" s="14">
        <v>2</v>
      </c>
      <c r="K11" s="14">
        <v>3</v>
      </c>
    </row>
    <row r="12" ht="24" customHeight="1" spans="1:11">
      <c r="B12" s="12" t="s">
        <v>25</v>
      </c>
      <c r="C12" s="15">
        <f>IF(J5="","",1/J5)</f>
        <v>0.25</v>
      </c>
      <c r="D12" s="15">
        <f>IF(J6="","",1/J6)</f>
        <v>0.333333333333333</v>
      </c>
      <c r="E12" s="15">
        <f>IF(J7="","",1/J7)</f>
        <v>0.333333333333333</v>
      </c>
      <c r="F12" s="15">
        <f>IF(J8="","",1/J8)</f>
        <v>0.5</v>
      </c>
      <c r="G12" s="15">
        <f>IF(J9="","",1/J9)</f>
        <v>0.5</v>
      </c>
      <c r="H12" s="15">
        <f>IF(J10="","",1/J10)</f>
        <v>0.5</v>
      </c>
      <c r="I12" s="15">
        <f>IF(J11="","",1/J11)</f>
        <v>0.5</v>
      </c>
      <c r="J12" s="13">
        <v>1</v>
      </c>
      <c r="K12" s="14">
        <v>2</v>
      </c>
    </row>
    <row r="13" ht="24" customHeight="1" spans="1:11">
      <c r="B13" s="12" t="s">
        <v>28</v>
      </c>
      <c r="C13" s="15">
        <f>IF(K5="","",1/K5)</f>
        <v>0.142857142857143</v>
      </c>
      <c r="D13" s="15">
        <f>IF(K6="","",1/K6)</f>
        <v>0.166666666666667</v>
      </c>
      <c r="E13" s="15">
        <f>IF(K7="","",1/K7)</f>
        <v>0.2</v>
      </c>
      <c r="F13" s="15">
        <f>IF(K8="","",1/K8)</f>
        <v>0.25</v>
      </c>
      <c r="G13" s="15">
        <f>IF(K9="","",1/K9)</f>
        <v>0.333333333333333</v>
      </c>
      <c r="H13" s="15">
        <f>IF(K10="","",1/K10)</f>
        <v>0.333333333333333</v>
      </c>
      <c r="I13" s="15">
        <f>IF(K11="","",1/K11)</f>
        <v>0.333333333333333</v>
      </c>
      <c r="J13" s="15">
        <f>IF(K12="","",1/K12)</f>
        <v>0.5</v>
      </c>
      <c r="K13" s="13">
        <v>1</v>
      </c>
    </row>
    <row r="16" spans="1:11">
      <c r="A16" s="16" t="s">
        <v>54</v>
      </c>
    </row>
    <row r="17" ht="34" customHeight="1" spans="1:3">
      <c r="A17" s="2" t="s">
        <v>1</v>
      </c>
      <c r="B17" s="2" t="s">
        <v>2</v>
      </c>
      <c r="C17" s="2" t="s">
        <v>3</v>
      </c>
    </row>
    <row r="18" ht="101" customHeight="1" spans="1:3">
      <c r="A18" s="4" t="s">
        <v>4</v>
      </c>
      <c r="B18" s="4" t="s">
        <v>5</v>
      </c>
      <c r="C18" s="4" t="s">
        <v>6</v>
      </c>
    </row>
    <row r="19" ht="84" customHeight="1" spans="1:3">
      <c r="A19" s="4" t="s">
        <v>7</v>
      </c>
      <c r="B19" s="4" t="s">
        <v>8</v>
      </c>
      <c r="C19" s="4" t="s">
        <v>9</v>
      </c>
    </row>
    <row r="20" ht="68" customHeight="1" spans="1:3">
      <c r="A20" s="4" t="s">
        <v>10</v>
      </c>
      <c r="B20" s="4" t="s">
        <v>11</v>
      </c>
      <c r="C20" s="4" t="s">
        <v>12</v>
      </c>
    </row>
    <row r="21" ht="135" customHeight="1" spans="1:3">
      <c r="A21" s="4" t="s">
        <v>13</v>
      </c>
      <c r="B21" s="4" t="s">
        <v>14</v>
      </c>
      <c r="C21" s="4" t="s">
        <v>15</v>
      </c>
    </row>
    <row r="22" ht="118" customHeight="1" spans="1:3">
      <c r="A22" s="4" t="s">
        <v>16</v>
      </c>
      <c r="B22" s="4" t="s">
        <v>17</v>
      </c>
      <c r="C22" s="4" t="s">
        <v>18</v>
      </c>
    </row>
    <row r="23" ht="51" customHeight="1" spans="1:3">
      <c r="A23" s="4" t="s">
        <v>19</v>
      </c>
      <c r="B23" s="4" t="s">
        <v>20</v>
      </c>
      <c r="C23" s="4" t="s">
        <v>21</v>
      </c>
    </row>
    <row r="24" ht="84" customHeight="1" spans="1:3">
      <c r="A24" s="4" t="s">
        <v>22</v>
      </c>
      <c r="B24" s="4" t="s">
        <v>23</v>
      </c>
      <c r="C24" s="4" t="s">
        <v>24</v>
      </c>
    </row>
    <row r="25" ht="68" customHeight="1" spans="1:3">
      <c r="A25" s="4" t="s">
        <v>25</v>
      </c>
      <c r="B25" s="4" t="s">
        <v>26</v>
      </c>
      <c r="C25" s="4" t="s">
        <v>27</v>
      </c>
    </row>
    <row r="26" ht="101" customHeight="1" spans="1:3">
      <c r="A26" s="4" t="s">
        <v>28</v>
      </c>
      <c r="B26" s="4" t="s">
        <v>29</v>
      </c>
      <c r="C26" s="4" t="s">
        <v>30</v>
      </c>
    </row>
  </sheetData>
  <pageMargins left="0.4" right="0.4" top="0.5" bottom="0.5" header="0.5" footer="0.5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6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22" customWidth="1"/>
    <col min="2" max="2" width="14" customWidth="1"/>
    <col min="3" max="11" width="12" customWidth="1"/>
    <col min="12" max="12" width="42" customWidth="1"/>
    <col min="13" max="13" width="68" customWidth="1"/>
  </cols>
  <sheetData>
    <row r="1" ht="23.2" customHeight="1" spans="1:11">
      <c r="A1" s="1" t="s">
        <v>55</v>
      </c>
    </row>
    <row r="4" ht="24" customHeight="1" spans="1:11">
      <c r="B4" s="11" t="s">
        <v>53</v>
      </c>
      <c r="C4" s="12" t="s">
        <v>4</v>
      </c>
      <c r="D4" s="12" t="s">
        <v>7</v>
      </c>
      <c r="E4" s="12" t="s">
        <v>10</v>
      </c>
      <c r="F4" s="12" t="s">
        <v>13</v>
      </c>
      <c r="G4" s="12" t="s">
        <v>16</v>
      </c>
      <c r="H4" s="12" t="s">
        <v>19</v>
      </c>
      <c r="I4" s="12" t="s">
        <v>22</v>
      </c>
      <c r="J4" s="12" t="s">
        <v>25</v>
      </c>
      <c r="K4" s="12" t="s">
        <v>28</v>
      </c>
    </row>
    <row r="5" ht="24" customHeight="1" spans="1:11">
      <c r="B5" s="12" t="s">
        <v>4</v>
      </c>
      <c r="C5" s="13">
        <v>1</v>
      </c>
      <c r="D5" s="14">
        <v>1</v>
      </c>
      <c r="E5" s="14">
        <v>1</v>
      </c>
      <c r="F5" s="14">
        <v>1</v>
      </c>
      <c r="G5" s="14">
        <v>2</v>
      </c>
      <c r="H5" s="14">
        <v>2</v>
      </c>
      <c r="I5" s="14">
        <v>2</v>
      </c>
      <c r="J5" s="14">
        <v>4</v>
      </c>
      <c r="K5" s="14">
        <v>6</v>
      </c>
    </row>
    <row r="6" ht="24" customHeight="1" spans="1:11">
      <c r="B6" s="12" t="s">
        <v>7</v>
      </c>
      <c r="C6" s="15">
        <f>IF(D5="","",1/D5)</f>
        <v>1</v>
      </c>
      <c r="D6" s="13">
        <v>1</v>
      </c>
      <c r="E6" s="14">
        <v>1</v>
      </c>
      <c r="F6" s="14">
        <v>1</v>
      </c>
      <c r="G6" s="14">
        <v>2</v>
      </c>
      <c r="H6" s="14">
        <v>2</v>
      </c>
      <c r="I6" s="14">
        <v>2</v>
      </c>
      <c r="J6" s="14">
        <v>4</v>
      </c>
      <c r="K6" s="14">
        <v>6</v>
      </c>
    </row>
    <row r="7" ht="24" customHeight="1" spans="1:11">
      <c r="B7" s="12" t="s">
        <v>10</v>
      </c>
      <c r="C7" s="15">
        <f>IF(E5="","",1/E5)</f>
        <v>1</v>
      </c>
      <c r="D7" s="15">
        <f>IF(E6="","",1/E6)</f>
        <v>1</v>
      </c>
      <c r="E7" s="13">
        <v>1</v>
      </c>
      <c r="F7" s="14">
        <v>1</v>
      </c>
      <c r="G7" s="14">
        <v>1</v>
      </c>
      <c r="H7" s="14">
        <v>2</v>
      </c>
      <c r="I7" s="14">
        <v>2</v>
      </c>
      <c r="J7" s="14">
        <v>3</v>
      </c>
      <c r="K7" s="14">
        <v>5</v>
      </c>
    </row>
    <row r="8" ht="24" customHeight="1" spans="1:11">
      <c r="B8" s="12" t="s">
        <v>13</v>
      </c>
      <c r="C8" s="15">
        <f>IF(F5="","",1/F5)</f>
        <v>1</v>
      </c>
      <c r="D8" s="15">
        <f>IF(F6="","",1/F6)</f>
        <v>1</v>
      </c>
      <c r="E8" s="15">
        <f>IF(F7="","",1/F7)</f>
        <v>1</v>
      </c>
      <c r="F8" s="13">
        <v>1</v>
      </c>
      <c r="G8" s="14">
        <v>1</v>
      </c>
      <c r="H8" s="14">
        <v>1</v>
      </c>
      <c r="I8" s="14">
        <v>1</v>
      </c>
      <c r="J8" s="14">
        <v>2</v>
      </c>
      <c r="K8" s="14">
        <v>4</v>
      </c>
    </row>
    <row r="9" ht="24" customHeight="1" spans="1:11">
      <c r="B9" s="12" t="s">
        <v>16</v>
      </c>
      <c r="C9" s="15">
        <f>IF(G5="","",1/G5)</f>
        <v>0.5</v>
      </c>
      <c r="D9" s="15">
        <f>IF(G6="","",1/G6)</f>
        <v>0.5</v>
      </c>
      <c r="E9" s="15">
        <f>IF(G7="","",1/G7)</f>
        <v>1</v>
      </c>
      <c r="F9" s="15">
        <f>IF(G8="","",1/G8)</f>
        <v>1</v>
      </c>
      <c r="G9" s="13">
        <v>1</v>
      </c>
      <c r="H9" s="14">
        <v>1</v>
      </c>
      <c r="I9" s="14">
        <v>1</v>
      </c>
      <c r="J9" s="14">
        <v>2</v>
      </c>
      <c r="K9" s="14">
        <v>4</v>
      </c>
    </row>
    <row r="10" ht="24" customHeight="1" spans="1:11">
      <c r="B10" s="12" t="s">
        <v>19</v>
      </c>
      <c r="C10" s="15">
        <f>IF(H5="","",1/H5)</f>
        <v>0.5</v>
      </c>
      <c r="D10" s="15">
        <f>IF(H6="","",1/H6)</f>
        <v>0.5</v>
      </c>
      <c r="E10" s="15">
        <f>IF(H7="","",1/H7)</f>
        <v>0.5</v>
      </c>
      <c r="F10" s="15">
        <f>IF(H8="","",1/H8)</f>
        <v>1</v>
      </c>
      <c r="G10" s="15">
        <f>IF(H9="","",1/H9)</f>
        <v>1</v>
      </c>
      <c r="H10" s="13">
        <v>1</v>
      </c>
      <c r="I10" s="14">
        <v>1</v>
      </c>
      <c r="J10" s="14">
        <v>2</v>
      </c>
      <c r="K10" s="14">
        <v>3</v>
      </c>
    </row>
    <row r="11" ht="24" customHeight="1" spans="1:11">
      <c r="B11" s="12" t="s">
        <v>22</v>
      </c>
      <c r="C11" s="15">
        <f>IF(I5="","",1/I5)</f>
        <v>0.5</v>
      </c>
      <c r="D11" s="15">
        <f>IF(I6="","",1/I6)</f>
        <v>0.5</v>
      </c>
      <c r="E11" s="15">
        <f>IF(I7="","",1/I7)</f>
        <v>0.5</v>
      </c>
      <c r="F11" s="15">
        <f>IF(I8="","",1/I8)</f>
        <v>1</v>
      </c>
      <c r="G11" s="15">
        <f>IF(I9="","",1/I9)</f>
        <v>1</v>
      </c>
      <c r="H11" s="15">
        <f>IF(I10="","",1/I10)</f>
        <v>1</v>
      </c>
      <c r="I11" s="13">
        <v>1</v>
      </c>
      <c r="J11" s="14">
        <v>2</v>
      </c>
      <c r="K11" s="14">
        <v>3</v>
      </c>
    </row>
    <row r="12" ht="24" customHeight="1" spans="1:11">
      <c r="B12" s="12" t="s">
        <v>25</v>
      </c>
      <c r="C12" s="15">
        <f>IF(J5="","",1/J5)</f>
        <v>0.25</v>
      </c>
      <c r="D12" s="15">
        <f>IF(J6="","",1/J6)</f>
        <v>0.25</v>
      </c>
      <c r="E12" s="15">
        <f>IF(J7="","",1/J7)</f>
        <v>0.333333333333333</v>
      </c>
      <c r="F12" s="15">
        <f>IF(J8="","",1/J8)</f>
        <v>0.5</v>
      </c>
      <c r="G12" s="15">
        <f>IF(J9="","",1/J9)</f>
        <v>0.5</v>
      </c>
      <c r="H12" s="15">
        <f>IF(J10="","",1/J10)</f>
        <v>0.5</v>
      </c>
      <c r="I12" s="15">
        <f>IF(J11="","",1/J11)</f>
        <v>0.5</v>
      </c>
      <c r="J12" s="13">
        <v>1</v>
      </c>
      <c r="K12" s="14">
        <v>2</v>
      </c>
    </row>
    <row r="13" ht="24" customHeight="1" spans="1:11">
      <c r="B13" s="12" t="s">
        <v>28</v>
      </c>
      <c r="C13" s="15">
        <f>IF(K5="","",1/K5)</f>
        <v>0.166666666666667</v>
      </c>
      <c r="D13" s="15">
        <f>IF(K6="","",1/K6)</f>
        <v>0.166666666666667</v>
      </c>
      <c r="E13" s="15">
        <f>IF(K7="","",1/K7)</f>
        <v>0.2</v>
      </c>
      <c r="F13" s="15">
        <f>IF(K8="","",1/K8)</f>
        <v>0.25</v>
      </c>
      <c r="G13" s="15">
        <f>IF(K9="","",1/K9)</f>
        <v>0.25</v>
      </c>
      <c r="H13" s="15">
        <f>IF(K10="","",1/K10)</f>
        <v>0.333333333333333</v>
      </c>
      <c r="I13" s="15">
        <f>IF(K11="","",1/K11)</f>
        <v>0.333333333333333</v>
      </c>
      <c r="J13" s="15">
        <f>IF(K12="","",1/K12)</f>
        <v>0.5</v>
      </c>
      <c r="K13" s="13">
        <v>1</v>
      </c>
    </row>
    <row r="16" spans="1:11">
      <c r="A16" s="16" t="s">
        <v>54</v>
      </c>
    </row>
    <row r="17" ht="34" customHeight="1" spans="1:3">
      <c r="A17" s="2" t="s">
        <v>1</v>
      </c>
      <c r="B17" s="2" t="s">
        <v>2</v>
      </c>
      <c r="C17" s="2" t="s">
        <v>3</v>
      </c>
    </row>
    <row r="18" ht="101" customHeight="1" spans="1:3">
      <c r="A18" s="4" t="s">
        <v>4</v>
      </c>
      <c r="B18" s="4" t="s">
        <v>5</v>
      </c>
      <c r="C18" s="4" t="s">
        <v>6</v>
      </c>
    </row>
    <row r="19" ht="84" customHeight="1" spans="1:3">
      <c r="A19" s="4" t="s">
        <v>7</v>
      </c>
      <c r="B19" s="4" t="s">
        <v>8</v>
      </c>
      <c r="C19" s="4" t="s">
        <v>9</v>
      </c>
    </row>
    <row r="20" ht="68" customHeight="1" spans="1:3">
      <c r="A20" s="4" t="s">
        <v>10</v>
      </c>
      <c r="B20" s="4" t="s">
        <v>11</v>
      </c>
      <c r="C20" s="4" t="s">
        <v>12</v>
      </c>
    </row>
    <row r="21" ht="135" customHeight="1" spans="1:3">
      <c r="A21" s="4" t="s">
        <v>13</v>
      </c>
      <c r="B21" s="4" t="s">
        <v>14</v>
      </c>
      <c r="C21" s="4" t="s">
        <v>15</v>
      </c>
    </row>
    <row r="22" ht="118" customHeight="1" spans="1:3">
      <c r="A22" s="4" t="s">
        <v>16</v>
      </c>
      <c r="B22" s="4" t="s">
        <v>17</v>
      </c>
      <c r="C22" s="4" t="s">
        <v>18</v>
      </c>
    </row>
    <row r="23" ht="51" customHeight="1" spans="1:3">
      <c r="A23" s="4" t="s">
        <v>19</v>
      </c>
      <c r="B23" s="4" t="s">
        <v>20</v>
      </c>
      <c r="C23" s="4" t="s">
        <v>21</v>
      </c>
    </row>
    <row r="24" ht="84" customHeight="1" spans="1:3">
      <c r="A24" s="4" t="s">
        <v>22</v>
      </c>
      <c r="B24" s="4" t="s">
        <v>23</v>
      </c>
      <c r="C24" s="4" t="s">
        <v>24</v>
      </c>
    </row>
    <row r="25" ht="68" customHeight="1" spans="1:3">
      <c r="A25" s="4" t="s">
        <v>25</v>
      </c>
      <c r="B25" s="4" t="s">
        <v>26</v>
      </c>
      <c r="C25" s="4" t="s">
        <v>27</v>
      </c>
    </row>
    <row r="26" ht="101" customHeight="1" spans="1:3">
      <c r="A26" s="4" t="s">
        <v>28</v>
      </c>
      <c r="B26" s="4" t="s">
        <v>29</v>
      </c>
      <c r="C26" s="4" t="s">
        <v>30</v>
      </c>
    </row>
  </sheetData>
  <pageMargins left="0.4" right="0.4" top="0.5" bottom="0.5" header="0.5" footer="0.5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6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22" customWidth="1"/>
    <col min="2" max="2" width="14" customWidth="1"/>
    <col min="3" max="11" width="12" customWidth="1"/>
    <col min="12" max="12" width="42" customWidth="1"/>
    <col min="13" max="13" width="68" customWidth="1"/>
  </cols>
  <sheetData>
    <row r="1" ht="23.2" customHeight="1" spans="1:11">
      <c r="A1" s="1" t="s">
        <v>56</v>
      </c>
    </row>
    <row r="4" ht="24" customHeight="1" spans="1:11">
      <c r="B4" s="11" t="s">
        <v>53</v>
      </c>
      <c r="C4" s="12" t="s">
        <v>4</v>
      </c>
      <c r="D4" s="12" t="s">
        <v>7</v>
      </c>
      <c r="E4" s="12" t="s">
        <v>10</v>
      </c>
      <c r="F4" s="12" t="s">
        <v>13</v>
      </c>
      <c r="G4" s="12" t="s">
        <v>16</v>
      </c>
      <c r="H4" s="12" t="s">
        <v>19</v>
      </c>
      <c r="I4" s="12" t="s">
        <v>22</v>
      </c>
      <c r="J4" s="12" t="s">
        <v>25</v>
      </c>
      <c r="K4" s="12" t="s">
        <v>28</v>
      </c>
    </row>
    <row r="5" ht="24" customHeight="1" spans="1:11">
      <c r="B5" s="12" t="s">
        <v>4</v>
      </c>
      <c r="C5" s="13">
        <v>1</v>
      </c>
      <c r="D5" s="14">
        <v>1</v>
      </c>
      <c r="E5" s="14">
        <v>1</v>
      </c>
      <c r="F5" s="14">
        <v>2</v>
      </c>
      <c r="G5" s="14">
        <v>2</v>
      </c>
      <c r="H5" s="14">
        <v>2</v>
      </c>
      <c r="I5" s="14">
        <v>3</v>
      </c>
      <c r="J5" s="14">
        <v>4</v>
      </c>
      <c r="K5" s="14">
        <v>7</v>
      </c>
    </row>
    <row r="6" ht="24" customHeight="1" spans="1:11">
      <c r="B6" s="12" t="s">
        <v>7</v>
      </c>
      <c r="C6" s="15">
        <f>IF(D5="","",1/D5)</f>
        <v>1</v>
      </c>
      <c r="D6" s="13">
        <v>1</v>
      </c>
      <c r="E6" s="14">
        <v>1</v>
      </c>
      <c r="F6" s="14">
        <v>1</v>
      </c>
      <c r="G6" s="14">
        <v>2</v>
      </c>
      <c r="H6" s="14">
        <v>1</v>
      </c>
      <c r="I6" s="14">
        <v>2</v>
      </c>
      <c r="J6" s="14">
        <v>3</v>
      </c>
      <c r="K6" s="14">
        <v>5</v>
      </c>
    </row>
    <row r="7" ht="24" customHeight="1" spans="1:11">
      <c r="B7" s="12" t="s">
        <v>10</v>
      </c>
      <c r="C7" s="15">
        <f>IF(E5="","",1/E5)</f>
        <v>1</v>
      </c>
      <c r="D7" s="15">
        <f>IF(E6="","",1/E6)</f>
        <v>1</v>
      </c>
      <c r="E7" s="13">
        <v>1</v>
      </c>
      <c r="F7" s="14">
        <v>1</v>
      </c>
      <c r="G7" s="14">
        <v>1</v>
      </c>
      <c r="H7" s="14">
        <v>1</v>
      </c>
      <c r="I7" s="14">
        <v>2</v>
      </c>
      <c r="J7" s="14">
        <v>3</v>
      </c>
      <c r="K7" s="14">
        <v>5</v>
      </c>
    </row>
    <row r="8" ht="24" customHeight="1" spans="1:11">
      <c r="B8" s="12" t="s">
        <v>13</v>
      </c>
      <c r="C8" s="15">
        <f>IF(F5="","",1/F5)</f>
        <v>0.5</v>
      </c>
      <c r="D8" s="15">
        <f>IF(F6="","",1/F6)</f>
        <v>1</v>
      </c>
      <c r="E8" s="15">
        <f>IF(F7="","",1/F7)</f>
        <v>1</v>
      </c>
      <c r="F8" s="13">
        <v>1</v>
      </c>
      <c r="G8" s="14">
        <v>1</v>
      </c>
      <c r="H8" s="14">
        <v>1</v>
      </c>
      <c r="I8" s="14">
        <v>1</v>
      </c>
      <c r="J8" s="14">
        <v>2</v>
      </c>
      <c r="K8" s="14">
        <v>4</v>
      </c>
    </row>
    <row r="9" ht="24" customHeight="1" spans="1:11">
      <c r="B9" s="12" t="s">
        <v>16</v>
      </c>
      <c r="C9" s="15">
        <f>IF(G5="","",1/G5)</f>
        <v>0.5</v>
      </c>
      <c r="D9" s="15">
        <f>IF(G6="","",1/G6)</f>
        <v>0.5</v>
      </c>
      <c r="E9" s="15">
        <f>IF(G7="","",1/G7)</f>
        <v>1</v>
      </c>
      <c r="F9" s="15">
        <f>IF(G8="","",1/G8)</f>
        <v>1</v>
      </c>
      <c r="G9" s="13">
        <v>1</v>
      </c>
      <c r="H9" s="14">
        <v>1</v>
      </c>
      <c r="I9" s="14">
        <v>1</v>
      </c>
      <c r="J9" s="14">
        <v>2</v>
      </c>
      <c r="K9" s="14">
        <v>3</v>
      </c>
    </row>
    <row r="10" ht="24" customHeight="1" spans="1:11">
      <c r="B10" s="12" t="s">
        <v>19</v>
      </c>
      <c r="C10" s="15">
        <f>IF(H5="","",1/H5)</f>
        <v>0.5</v>
      </c>
      <c r="D10" s="15">
        <f>IF(H6="","",1/H6)</f>
        <v>1</v>
      </c>
      <c r="E10" s="15">
        <f>IF(H7="","",1/H7)</f>
        <v>1</v>
      </c>
      <c r="F10" s="15">
        <f>IF(H8="","",1/H8)</f>
        <v>1</v>
      </c>
      <c r="G10" s="15">
        <f>IF(H9="","",1/H9)</f>
        <v>1</v>
      </c>
      <c r="H10" s="13">
        <v>1</v>
      </c>
      <c r="I10" s="14">
        <v>1</v>
      </c>
      <c r="J10" s="14">
        <v>2</v>
      </c>
      <c r="K10" s="14">
        <v>4</v>
      </c>
    </row>
    <row r="11" ht="24" customHeight="1" spans="1:11">
      <c r="B11" s="12" t="s">
        <v>22</v>
      </c>
      <c r="C11" s="15">
        <f>IF(I5="","",1/I5)</f>
        <v>0.333333333333333</v>
      </c>
      <c r="D11" s="15">
        <f>IF(I6="","",1/I6)</f>
        <v>0.5</v>
      </c>
      <c r="E11" s="15">
        <f>IF(I7="","",1/I7)</f>
        <v>0.5</v>
      </c>
      <c r="F11" s="15">
        <f>IF(I8="","",1/I8)</f>
        <v>1</v>
      </c>
      <c r="G11" s="15">
        <f>IF(I9="","",1/I9)</f>
        <v>1</v>
      </c>
      <c r="H11" s="15">
        <f>IF(I10="","",1/I10)</f>
        <v>1</v>
      </c>
      <c r="I11" s="13">
        <v>1</v>
      </c>
      <c r="J11" s="14">
        <v>2</v>
      </c>
      <c r="K11" s="14">
        <v>3</v>
      </c>
    </row>
    <row r="12" ht="24" customHeight="1" spans="1:11">
      <c r="B12" s="12" t="s">
        <v>25</v>
      </c>
      <c r="C12" s="15">
        <f>IF(J5="","",1/J5)</f>
        <v>0.25</v>
      </c>
      <c r="D12" s="15">
        <f>IF(J6="","",1/J6)</f>
        <v>0.333333333333333</v>
      </c>
      <c r="E12" s="15">
        <f>IF(J7="","",1/J7)</f>
        <v>0.333333333333333</v>
      </c>
      <c r="F12" s="15">
        <f>IF(J8="","",1/J8)</f>
        <v>0.5</v>
      </c>
      <c r="G12" s="15">
        <f>IF(J9="","",1/J9)</f>
        <v>0.5</v>
      </c>
      <c r="H12" s="15">
        <f>IF(J10="","",1/J10)</f>
        <v>0.5</v>
      </c>
      <c r="I12" s="15">
        <f>IF(J11="","",1/J11)</f>
        <v>0.5</v>
      </c>
      <c r="J12" s="13">
        <v>1</v>
      </c>
      <c r="K12" s="14">
        <v>2</v>
      </c>
    </row>
    <row r="13" ht="24" customHeight="1" spans="1:11">
      <c r="B13" s="12" t="s">
        <v>28</v>
      </c>
      <c r="C13" s="15">
        <f>IF(K5="","",1/K5)</f>
        <v>0.142857142857143</v>
      </c>
      <c r="D13" s="15">
        <f>IF(K6="","",1/K6)</f>
        <v>0.2</v>
      </c>
      <c r="E13" s="15">
        <f>IF(K7="","",1/K7)</f>
        <v>0.2</v>
      </c>
      <c r="F13" s="15">
        <f>IF(K8="","",1/K8)</f>
        <v>0.25</v>
      </c>
      <c r="G13" s="15">
        <f>IF(K9="","",1/K9)</f>
        <v>0.333333333333333</v>
      </c>
      <c r="H13" s="15">
        <f>IF(K10="","",1/K10)</f>
        <v>0.25</v>
      </c>
      <c r="I13" s="15">
        <f>IF(K11="","",1/K11)</f>
        <v>0.333333333333333</v>
      </c>
      <c r="J13" s="15">
        <f>IF(K12="","",1/K12)</f>
        <v>0.5</v>
      </c>
      <c r="K13" s="13">
        <v>1</v>
      </c>
    </row>
    <row r="16" spans="1:11">
      <c r="A16" s="16" t="s">
        <v>54</v>
      </c>
    </row>
    <row r="17" ht="34" customHeight="1" spans="1:3">
      <c r="A17" s="2" t="s">
        <v>1</v>
      </c>
      <c r="B17" s="2" t="s">
        <v>2</v>
      </c>
      <c r="C17" s="2" t="s">
        <v>3</v>
      </c>
    </row>
    <row r="18" ht="101" customHeight="1" spans="1:3">
      <c r="A18" s="4" t="s">
        <v>4</v>
      </c>
      <c r="B18" s="4" t="s">
        <v>5</v>
      </c>
      <c r="C18" s="4" t="s">
        <v>6</v>
      </c>
    </row>
    <row r="19" ht="84" customHeight="1" spans="1:3">
      <c r="A19" s="4" t="s">
        <v>7</v>
      </c>
      <c r="B19" s="4" t="s">
        <v>8</v>
      </c>
      <c r="C19" s="4" t="s">
        <v>9</v>
      </c>
    </row>
    <row r="20" ht="68" customHeight="1" spans="1:3">
      <c r="A20" s="4" t="s">
        <v>10</v>
      </c>
      <c r="B20" s="4" t="s">
        <v>11</v>
      </c>
      <c r="C20" s="4" t="s">
        <v>12</v>
      </c>
    </row>
    <row r="21" ht="135" customHeight="1" spans="1:3">
      <c r="A21" s="4" t="s">
        <v>13</v>
      </c>
      <c r="B21" s="4" t="s">
        <v>14</v>
      </c>
      <c r="C21" s="4" t="s">
        <v>15</v>
      </c>
    </row>
    <row r="22" ht="118" customHeight="1" spans="1:3">
      <c r="A22" s="4" t="s">
        <v>16</v>
      </c>
      <c r="B22" s="4" t="s">
        <v>17</v>
      </c>
      <c r="C22" s="4" t="s">
        <v>18</v>
      </c>
    </row>
    <row r="23" ht="51" customHeight="1" spans="1:3">
      <c r="A23" s="4" t="s">
        <v>19</v>
      </c>
      <c r="B23" s="4" t="s">
        <v>20</v>
      </c>
      <c r="C23" s="4" t="s">
        <v>21</v>
      </c>
    </row>
    <row r="24" ht="84" customHeight="1" spans="1:3">
      <c r="A24" s="4" t="s">
        <v>22</v>
      </c>
      <c r="B24" s="4" t="s">
        <v>23</v>
      </c>
      <c r="C24" s="4" t="s">
        <v>24</v>
      </c>
    </row>
    <row r="25" ht="68" customHeight="1" spans="1:3">
      <c r="A25" s="4" t="s">
        <v>25</v>
      </c>
      <c r="B25" s="4" t="s">
        <v>26</v>
      </c>
      <c r="C25" s="4" t="s">
        <v>27</v>
      </c>
    </row>
    <row r="26" ht="101" customHeight="1" spans="1:3">
      <c r="A26" s="4" t="s">
        <v>28</v>
      </c>
      <c r="B26" s="4" t="s">
        <v>29</v>
      </c>
      <c r="C26" s="4" t="s">
        <v>30</v>
      </c>
    </row>
  </sheetData>
  <pageMargins left="0.4" right="0.4" top="0.5" bottom="0.5" header="0.5" footer="0.5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J23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56.8846153846154" customWidth="1"/>
    <col min="2" max="2" width="42" customWidth="1"/>
    <col min="3" max="3" width="70" customWidth="1"/>
    <col min="4" max="10" width="12" customWidth="1"/>
  </cols>
  <sheetData>
    <row r="1" ht="23.2" customHeight="1" spans="1:10">
      <c r="A1" s="1" t="s">
        <v>57</v>
      </c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17" customHeight="1" spans="1:10">
      <c r="A3" s="2" t="s">
        <v>53</v>
      </c>
      <c r="B3" s="7" t="s">
        <v>4</v>
      </c>
      <c r="C3" s="7" t="s">
        <v>7</v>
      </c>
      <c r="D3" s="7" t="s">
        <v>10</v>
      </c>
      <c r="E3" s="7" t="s">
        <v>13</v>
      </c>
      <c r="F3" s="7" t="s">
        <v>16</v>
      </c>
      <c r="G3" s="7" t="s">
        <v>19</v>
      </c>
      <c r="H3" s="7" t="s">
        <v>22</v>
      </c>
      <c r="I3" s="7" t="s">
        <v>25</v>
      </c>
      <c r="J3" s="7" t="s">
        <v>28</v>
      </c>
    </row>
    <row r="4" ht="17" customHeight="1" spans="1:10">
      <c r="A4" s="2" t="s">
        <v>4</v>
      </c>
      <c r="B4" s="7">
        <v>1</v>
      </c>
      <c r="C4" s="7">
        <v>1</v>
      </c>
      <c r="D4" s="7">
        <v>1</v>
      </c>
      <c r="E4" s="7">
        <v>2</v>
      </c>
      <c r="F4" s="7">
        <v>2</v>
      </c>
      <c r="G4" s="7">
        <v>2</v>
      </c>
      <c r="H4" s="7">
        <v>2</v>
      </c>
      <c r="I4" s="7">
        <v>4</v>
      </c>
      <c r="J4" s="7">
        <v>7</v>
      </c>
    </row>
    <row r="5" ht="17" customHeight="1" spans="1:10">
      <c r="A5" s="2" t="s">
        <v>7</v>
      </c>
      <c r="B5" s="7">
        <v>1</v>
      </c>
      <c r="C5" s="7">
        <v>1</v>
      </c>
      <c r="D5" s="7">
        <v>1</v>
      </c>
      <c r="E5" s="7">
        <v>1</v>
      </c>
      <c r="F5" s="7">
        <v>2</v>
      </c>
      <c r="G5" s="7">
        <v>2</v>
      </c>
      <c r="H5" s="7">
        <v>2</v>
      </c>
      <c r="I5" s="7">
        <v>3</v>
      </c>
      <c r="J5" s="7">
        <v>6</v>
      </c>
    </row>
    <row r="6" ht="17" customHeight="1" spans="1:10">
      <c r="A6" s="2" t="s">
        <v>10</v>
      </c>
      <c r="B6" s="7">
        <v>1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2</v>
      </c>
      <c r="I6" s="7">
        <v>3</v>
      </c>
      <c r="J6" s="7">
        <v>5</v>
      </c>
    </row>
    <row r="7" ht="17" customHeight="1" spans="1:10">
      <c r="A7" s="2" t="s">
        <v>13</v>
      </c>
      <c r="B7" s="7">
        <v>0.5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2</v>
      </c>
      <c r="J7" s="7">
        <v>4</v>
      </c>
    </row>
    <row r="8" ht="17" customHeight="1" spans="1:10">
      <c r="A8" s="2" t="s">
        <v>16</v>
      </c>
      <c r="B8" s="7">
        <v>0.5</v>
      </c>
      <c r="C8" s="7">
        <v>0.5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2</v>
      </c>
      <c r="J8" s="7">
        <v>3</v>
      </c>
    </row>
    <row r="9" ht="17" customHeight="1" spans="1:10">
      <c r="A9" s="2" t="s">
        <v>19</v>
      </c>
      <c r="B9" s="7">
        <v>0.5</v>
      </c>
      <c r="C9" s="7">
        <v>0.5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2</v>
      </c>
      <c r="J9" s="7">
        <v>3</v>
      </c>
    </row>
    <row r="10" ht="17" customHeight="1" spans="1:10">
      <c r="A10" s="2" t="s">
        <v>22</v>
      </c>
      <c r="B10" s="7">
        <v>0.5</v>
      </c>
      <c r="C10" s="7">
        <v>0.5</v>
      </c>
      <c r="D10" s="7">
        <v>0.5</v>
      </c>
      <c r="E10" s="7">
        <v>1</v>
      </c>
      <c r="F10" s="7">
        <v>1</v>
      </c>
      <c r="G10" s="7">
        <v>1</v>
      </c>
      <c r="H10" s="7">
        <v>1</v>
      </c>
      <c r="I10" s="7">
        <v>2</v>
      </c>
      <c r="J10" s="7">
        <v>3</v>
      </c>
    </row>
    <row r="11" ht="17" customHeight="1" spans="1:10">
      <c r="A11" s="2" t="s">
        <v>25</v>
      </c>
      <c r="B11" s="7">
        <v>0.25</v>
      </c>
      <c r="C11" s="7">
        <v>0.333333333333333</v>
      </c>
      <c r="D11" s="7">
        <v>0.333333333333333</v>
      </c>
      <c r="E11" s="7">
        <v>0.5</v>
      </c>
      <c r="F11" s="7">
        <v>0.5</v>
      </c>
      <c r="G11" s="7">
        <v>0.5</v>
      </c>
      <c r="H11" s="7">
        <v>0.5</v>
      </c>
      <c r="I11" s="7">
        <v>1</v>
      </c>
      <c r="J11" s="7">
        <v>2</v>
      </c>
    </row>
    <row r="12" spans="1:10">
      <c r="A12" t="s">
        <v>28</v>
      </c>
      <c r="B12">
        <v>0.142857142857143</v>
      </c>
      <c r="C12">
        <v>0.166666666666667</v>
      </c>
      <c r="D12">
        <v>0.2</v>
      </c>
      <c r="E12">
        <v>0.25</v>
      </c>
      <c r="F12">
        <v>0.333333333333333</v>
      </c>
      <c r="G12">
        <v>0.333333333333333</v>
      </c>
      <c r="H12">
        <v>0.333333333333333</v>
      </c>
      <c r="I12">
        <v>0.5</v>
      </c>
      <c r="J12">
        <v>1</v>
      </c>
    </row>
    <row r="14" ht="17" customHeight="1" spans="1:10">
      <c r="A14" s="2" t="s">
        <v>1</v>
      </c>
      <c r="B14" s="2" t="s">
        <v>2</v>
      </c>
      <c r="C14" s="2" t="s">
        <v>3</v>
      </c>
    </row>
    <row r="15" ht="17" customHeight="1" spans="1:10">
      <c r="A15" s="4" t="s">
        <v>4</v>
      </c>
      <c r="B15" s="4" t="s">
        <v>5</v>
      </c>
      <c r="C15" s="4" t="s">
        <v>6</v>
      </c>
    </row>
    <row r="16" ht="17" customHeight="1" spans="1:10">
      <c r="A16" s="4" t="s">
        <v>7</v>
      </c>
      <c r="B16" s="4" t="s">
        <v>8</v>
      </c>
      <c r="C16" s="4" t="s">
        <v>9</v>
      </c>
    </row>
    <row r="17" ht="17" customHeight="1" spans="1:3">
      <c r="A17" s="4" t="s">
        <v>10</v>
      </c>
      <c r="B17" s="4" t="s">
        <v>11</v>
      </c>
      <c r="C17" s="4" t="s">
        <v>12</v>
      </c>
    </row>
    <row r="18" ht="17" customHeight="1" spans="1:3">
      <c r="A18" s="4" t="s">
        <v>13</v>
      </c>
      <c r="B18" s="4" t="s">
        <v>14</v>
      </c>
      <c r="C18" s="4" t="s">
        <v>15</v>
      </c>
    </row>
    <row r="19" ht="17" customHeight="1" spans="1:3">
      <c r="A19" s="4" t="s">
        <v>16</v>
      </c>
      <c r="B19" s="4" t="s">
        <v>17</v>
      </c>
      <c r="C19" s="4" t="s">
        <v>18</v>
      </c>
    </row>
    <row r="20" ht="17" customHeight="1" spans="1:3">
      <c r="A20" s="4" t="s">
        <v>19</v>
      </c>
      <c r="B20" s="4" t="s">
        <v>20</v>
      </c>
      <c r="C20" s="4" t="s">
        <v>21</v>
      </c>
    </row>
    <row r="21" ht="17" customHeight="1" spans="1:3">
      <c r="A21" s="4" t="s">
        <v>22</v>
      </c>
      <c r="B21" s="4" t="s">
        <v>23</v>
      </c>
      <c r="C21" s="4" t="s">
        <v>24</v>
      </c>
    </row>
    <row r="22" ht="17" customHeight="1" spans="1:3">
      <c r="A22" s="4" t="s">
        <v>25</v>
      </c>
      <c r="B22" s="4" t="s">
        <v>26</v>
      </c>
      <c r="C22" s="4" t="s">
        <v>27</v>
      </c>
    </row>
    <row r="23" ht="17" customHeight="1" spans="1:3">
      <c r="A23" s="4" t="s">
        <v>28</v>
      </c>
      <c r="B23" s="4" t="s">
        <v>29</v>
      </c>
      <c r="C23" s="4" t="s">
        <v>30</v>
      </c>
    </row>
  </sheetData>
  <pageMargins left="0.4" right="0.4" top="0.5" bottom="0.5" header="0.5" footer="0.5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J23"/>
  <sheetViews>
    <sheetView showGridLines="0" workbookViewId="0">
      <pane xSplit="1" ySplit="2" topLeftCell="B4" activePane="bottomRight" state="frozen"/>
      <selection/>
      <selection pane="topRight"/>
      <selection pane="bottomLeft"/>
      <selection pane="bottomRight" activeCell="C27" sqref="C27"/>
    </sheetView>
  </sheetViews>
  <sheetFormatPr defaultColWidth="9" defaultRowHeight="16.8"/>
  <cols>
    <col min="1" max="1" width="12" customWidth="1"/>
    <col min="2" max="2" width="42" customWidth="1"/>
    <col min="3" max="3" width="70" customWidth="1"/>
    <col min="4" max="10" width="12" customWidth="1"/>
  </cols>
  <sheetData>
    <row r="1" ht="23.2" customHeight="1" spans="1:10">
      <c r="A1" s="1" t="s">
        <v>58</v>
      </c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17" customHeight="1" spans="1:10">
      <c r="A3" s="2" t="s">
        <v>53</v>
      </c>
      <c r="B3" s="7" t="s">
        <v>4</v>
      </c>
      <c r="C3" s="7" t="s">
        <v>7</v>
      </c>
      <c r="D3" s="7" t="s">
        <v>10</v>
      </c>
      <c r="E3" s="7" t="s">
        <v>13</v>
      </c>
      <c r="F3" s="7" t="s">
        <v>16</v>
      </c>
      <c r="G3" s="7" t="s">
        <v>19</v>
      </c>
      <c r="H3" s="7" t="s">
        <v>22</v>
      </c>
      <c r="I3" s="7" t="s">
        <v>25</v>
      </c>
      <c r="J3" s="7" t="s">
        <v>28</v>
      </c>
    </row>
    <row r="4" ht="17" customHeight="1" spans="1:10">
      <c r="A4" s="2" t="s">
        <v>4</v>
      </c>
      <c r="B4" s="7">
        <v>1</v>
      </c>
      <c r="C4" s="7">
        <v>1</v>
      </c>
      <c r="D4" s="7">
        <v>1</v>
      </c>
      <c r="E4" s="7">
        <v>1</v>
      </c>
      <c r="F4" s="7">
        <v>2</v>
      </c>
      <c r="G4" s="7">
        <v>2</v>
      </c>
      <c r="H4" s="7">
        <v>2</v>
      </c>
      <c r="I4" s="7">
        <v>4</v>
      </c>
      <c r="J4" s="7">
        <v>6</v>
      </c>
    </row>
    <row r="5" ht="17" customHeight="1" spans="1:10">
      <c r="A5" s="2" t="s">
        <v>7</v>
      </c>
      <c r="B5" s="7">
        <v>1</v>
      </c>
      <c r="C5" s="7">
        <v>1</v>
      </c>
      <c r="D5" s="7">
        <v>1</v>
      </c>
      <c r="E5" s="7">
        <v>1</v>
      </c>
      <c r="F5" s="7">
        <v>2</v>
      </c>
      <c r="G5" s="7">
        <v>2</v>
      </c>
      <c r="H5" s="7">
        <v>2</v>
      </c>
      <c r="I5" s="7">
        <v>4</v>
      </c>
      <c r="J5" s="7">
        <v>6</v>
      </c>
    </row>
    <row r="6" ht="17" customHeight="1" spans="1:10">
      <c r="A6" s="2" t="s">
        <v>10</v>
      </c>
      <c r="B6" s="7">
        <v>1</v>
      </c>
      <c r="C6" s="7">
        <v>1</v>
      </c>
      <c r="D6" s="7">
        <v>1</v>
      </c>
      <c r="E6" s="7">
        <v>1</v>
      </c>
      <c r="F6" s="7">
        <v>1</v>
      </c>
      <c r="G6" s="7">
        <v>2</v>
      </c>
      <c r="H6" s="7">
        <v>2</v>
      </c>
      <c r="I6" s="7">
        <v>3</v>
      </c>
      <c r="J6" s="7">
        <v>5</v>
      </c>
    </row>
    <row r="7" ht="17" customHeight="1" spans="1:10">
      <c r="A7" s="2" t="s">
        <v>13</v>
      </c>
      <c r="B7" s="7">
        <v>1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2</v>
      </c>
      <c r="J7" s="7">
        <v>4</v>
      </c>
    </row>
    <row r="8" ht="17" customHeight="1" spans="1:10">
      <c r="A8" s="2" t="s">
        <v>16</v>
      </c>
      <c r="B8" s="7">
        <v>0.5</v>
      </c>
      <c r="C8" s="7">
        <v>0.5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2</v>
      </c>
      <c r="J8" s="7">
        <v>4</v>
      </c>
    </row>
    <row r="9" ht="17" customHeight="1" spans="1:10">
      <c r="A9" s="2" t="s">
        <v>19</v>
      </c>
      <c r="B9" s="7">
        <v>0.5</v>
      </c>
      <c r="C9" s="7">
        <v>0.5</v>
      </c>
      <c r="D9" s="7">
        <v>0.5</v>
      </c>
      <c r="E9" s="7">
        <v>1</v>
      </c>
      <c r="F9" s="7">
        <v>1</v>
      </c>
      <c r="G9" s="7">
        <v>1</v>
      </c>
      <c r="H9" s="7">
        <v>1</v>
      </c>
      <c r="I9" s="7">
        <v>2</v>
      </c>
      <c r="J9" s="7">
        <v>3</v>
      </c>
    </row>
    <row r="10" ht="17" customHeight="1" spans="1:10">
      <c r="A10" s="2" t="s">
        <v>22</v>
      </c>
      <c r="B10" s="7">
        <v>0.5</v>
      </c>
      <c r="C10" s="7">
        <v>0.5</v>
      </c>
      <c r="D10" s="7">
        <v>0.5</v>
      </c>
      <c r="E10" s="7">
        <v>1</v>
      </c>
      <c r="F10" s="7">
        <v>1</v>
      </c>
      <c r="G10" s="7">
        <v>1</v>
      </c>
      <c r="H10" s="7">
        <v>1</v>
      </c>
      <c r="I10" s="7">
        <v>2</v>
      </c>
      <c r="J10" s="7">
        <v>3</v>
      </c>
    </row>
    <row r="11" ht="17" customHeight="1" spans="1:10">
      <c r="A11" s="2" t="s">
        <v>25</v>
      </c>
      <c r="B11" s="7">
        <v>0.25</v>
      </c>
      <c r="C11" s="7">
        <v>0.25</v>
      </c>
      <c r="D11" s="7">
        <v>0.333333333333333</v>
      </c>
      <c r="E11" s="7">
        <v>0.5</v>
      </c>
      <c r="F11" s="7">
        <v>0.5</v>
      </c>
      <c r="G11" s="7">
        <v>0.5</v>
      </c>
      <c r="H11" s="7">
        <v>0.5</v>
      </c>
      <c r="I11" s="7">
        <v>1</v>
      </c>
      <c r="J11" s="7">
        <v>2</v>
      </c>
    </row>
    <row r="12" spans="1:10">
      <c r="A12" t="s">
        <v>28</v>
      </c>
      <c r="B12">
        <v>0.166666666666667</v>
      </c>
      <c r="C12">
        <v>0.166666666666667</v>
      </c>
      <c r="D12">
        <v>0.2</v>
      </c>
      <c r="E12">
        <v>0.25</v>
      </c>
      <c r="F12">
        <v>0.25</v>
      </c>
      <c r="G12">
        <v>0.333333333333333</v>
      </c>
      <c r="H12">
        <v>0.333333333333333</v>
      </c>
      <c r="I12">
        <v>0.5</v>
      </c>
      <c r="J12">
        <v>1</v>
      </c>
    </row>
    <row r="14" ht="17" customHeight="1" spans="1:10">
      <c r="A14" s="2" t="s">
        <v>1</v>
      </c>
      <c r="B14" s="2" t="s">
        <v>2</v>
      </c>
      <c r="C14" s="2" t="s">
        <v>3</v>
      </c>
    </row>
    <row r="15" ht="17" customHeight="1" spans="1:10">
      <c r="A15" s="4" t="s">
        <v>4</v>
      </c>
      <c r="B15" s="4" t="s">
        <v>5</v>
      </c>
      <c r="C15" s="4" t="s">
        <v>6</v>
      </c>
    </row>
    <row r="16" ht="17" customHeight="1" spans="1:10">
      <c r="A16" s="4" t="s">
        <v>7</v>
      </c>
      <c r="B16" s="4" t="s">
        <v>8</v>
      </c>
      <c r="C16" s="4" t="s">
        <v>9</v>
      </c>
    </row>
    <row r="17" ht="17" customHeight="1" spans="1:3">
      <c r="A17" s="4" t="s">
        <v>10</v>
      </c>
      <c r="B17" s="4" t="s">
        <v>11</v>
      </c>
      <c r="C17" s="4" t="s">
        <v>12</v>
      </c>
    </row>
    <row r="18" ht="17" customHeight="1" spans="1:3">
      <c r="A18" s="4" t="s">
        <v>13</v>
      </c>
      <c r="B18" s="4" t="s">
        <v>14</v>
      </c>
      <c r="C18" s="4" t="s">
        <v>15</v>
      </c>
    </row>
    <row r="19" ht="17" customHeight="1" spans="1:3">
      <c r="A19" s="4" t="s">
        <v>16</v>
      </c>
      <c r="B19" s="4" t="s">
        <v>17</v>
      </c>
      <c r="C19" s="4" t="s">
        <v>18</v>
      </c>
    </row>
    <row r="20" ht="17" customHeight="1" spans="1:3">
      <c r="A20" s="4" t="s">
        <v>19</v>
      </c>
      <c r="B20" s="4" t="s">
        <v>20</v>
      </c>
      <c r="C20" s="4" t="s">
        <v>21</v>
      </c>
    </row>
    <row r="21" ht="17" customHeight="1" spans="1:3">
      <c r="A21" s="4" t="s">
        <v>22</v>
      </c>
      <c r="B21" s="4" t="s">
        <v>23</v>
      </c>
      <c r="C21" s="4" t="s">
        <v>24</v>
      </c>
    </row>
    <row r="22" ht="17" customHeight="1" spans="1:3">
      <c r="A22" s="4" t="s">
        <v>25</v>
      </c>
      <c r="B22" s="4" t="s">
        <v>26</v>
      </c>
      <c r="C22" s="4" t="s">
        <v>27</v>
      </c>
    </row>
    <row r="23" ht="17" customHeight="1" spans="1:3">
      <c r="A23" s="4" t="s">
        <v>28</v>
      </c>
      <c r="B23" s="4" t="s">
        <v>29</v>
      </c>
      <c r="C23" s="4" t="s">
        <v>30</v>
      </c>
    </row>
  </sheetData>
  <pageMargins left="0.4" right="0.4" top="0.5" bottom="0.5" header="0.5" footer="0.5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J23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2" customWidth="1"/>
    <col min="2" max="2" width="42" customWidth="1"/>
    <col min="3" max="3" width="70" customWidth="1"/>
    <col min="4" max="10" width="12" customWidth="1"/>
  </cols>
  <sheetData>
    <row r="1" ht="23.2" customHeight="1" spans="1:10">
      <c r="A1" s="1" t="s">
        <v>59</v>
      </c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17" customHeight="1" spans="1:10">
      <c r="A3" s="2" t="s">
        <v>53</v>
      </c>
      <c r="B3" s="7" t="s">
        <v>4</v>
      </c>
      <c r="C3" s="7" t="s">
        <v>7</v>
      </c>
      <c r="D3" s="7" t="s">
        <v>10</v>
      </c>
      <c r="E3" s="7" t="s">
        <v>13</v>
      </c>
      <c r="F3" s="7" t="s">
        <v>16</v>
      </c>
      <c r="G3" s="7" t="s">
        <v>19</v>
      </c>
      <c r="H3" s="7" t="s">
        <v>22</v>
      </c>
      <c r="I3" s="7" t="s">
        <v>25</v>
      </c>
      <c r="J3" s="7" t="s">
        <v>28</v>
      </c>
    </row>
    <row r="4" ht="17" customHeight="1" spans="1:10">
      <c r="A4" s="2" t="s">
        <v>4</v>
      </c>
      <c r="B4" s="7">
        <v>1</v>
      </c>
      <c r="C4" s="7">
        <v>1</v>
      </c>
      <c r="D4" s="7">
        <v>1</v>
      </c>
      <c r="E4" s="7">
        <v>2</v>
      </c>
      <c r="F4" s="7">
        <v>2</v>
      </c>
      <c r="G4" s="7">
        <v>2</v>
      </c>
      <c r="H4" s="7">
        <v>3</v>
      </c>
      <c r="I4" s="7">
        <v>4</v>
      </c>
      <c r="J4" s="7">
        <v>7</v>
      </c>
    </row>
    <row r="5" ht="17" customHeight="1" spans="1:10">
      <c r="A5" s="2" t="s">
        <v>7</v>
      </c>
      <c r="B5" s="7">
        <v>1</v>
      </c>
      <c r="C5" s="7">
        <v>1</v>
      </c>
      <c r="D5" s="7">
        <v>1</v>
      </c>
      <c r="E5" s="7">
        <v>1</v>
      </c>
      <c r="F5" s="7">
        <v>2</v>
      </c>
      <c r="G5" s="7">
        <v>1</v>
      </c>
      <c r="H5" s="7">
        <v>2</v>
      </c>
      <c r="I5" s="7">
        <v>3</v>
      </c>
      <c r="J5" s="7">
        <v>5</v>
      </c>
    </row>
    <row r="6" ht="17" customHeight="1" spans="1:10">
      <c r="A6" s="2" t="s">
        <v>10</v>
      </c>
      <c r="B6" s="7">
        <v>1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2</v>
      </c>
      <c r="I6" s="7">
        <v>3</v>
      </c>
      <c r="J6" s="7">
        <v>5</v>
      </c>
    </row>
    <row r="7" ht="17" customHeight="1" spans="1:10">
      <c r="A7" s="2" t="s">
        <v>13</v>
      </c>
      <c r="B7" s="7">
        <v>0.5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2</v>
      </c>
      <c r="J7" s="7">
        <v>4</v>
      </c>
    </row>
    <row r="8" ht="17" customHeight="1" spans="1:10">
      <c r="A8" s="2" t="s">
        <v>16</v>
      </c>
      <c r="B8" s="7">
        <v>0.5</v>
      </c>
      <c r="C8" s="7">
        <v>0.5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2</v>
      </c>
      <c r="J8" s="7">
        <v>3</v>
      </c>
    </row>
    <row r="9" ht="17" customHeight="1" spans="1:10">
      <c r="A9" s="2" t="s">
        <v>19</v>
      </c>
      <c r="B9" s="7">
        <v>0.5</v>
      </c>
      <c r="C9" s="7">
        <v>1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2</v>
      </c>
      <c r="J9" s="7">
        <v>4</v>
      </c>
    </row>
    <row r="10" ht="17" customHeight="1" spans="1:10">
      <c r="A10" s="2" t="s">
        <v>22</v>
      </c>
      <c r="B10" s="7">
        <v>0.333333333333333</v>
      </c>
      <c r="C10" s="7">
        <v>0.5</v>
      </c>
      <c r="D10" s="7">
        <v>0.5</v>
      </c>
      <c r="E10" s="7">
        <v>1</v>
      </c>
      <c r="F10" s="7">
        <v>1</v>
      </c>
      <c r="G10" s="7">
        <v>1</v>
      </c>
      <c r="H10" s="7">
        <v>1</v>
      </c>
      <c r="I10" s="7">
        <v>2</v>
      </c>
      <c r="J10" s="7">
        <v>3</v>
      </c>
    </row>
    <row r="11" ht="17" customHeight="1" spans="1:10">
      <c r="A11" s="2" t="s">
        <v>25</v>
      </c>
      <c r="B11" s="7">
        <v>0.25</v>
      </c>
      <c r="C11" s="7">
        <v>0.333333333333333</v>
      </c>
      <c r="D11" s="7">
        <v>0.333333333333333</v>
      </c>
      <c r="E11" s="7">
        <v>0.5</v>
      </c>
      <c r="F11" s="7">
        <v>0.5</v>
      </c>
      <c r="G11" s="7">
        <v>0.5</v>
      </c>
      <c r="H11" s="7">
        <v>0.5</v>
      </c>
      <c r="I11" s="7">
        <v>1</v>
      </c>
      <c r="J11" s="7">
        <v>2</v>
      </c>
    </row>
    <row r="12" spans="1:10">
      <c r="A12" t="s">
        <v>28</v>
      </c>
      <c r="B12">
        <v>0.142857142857143</v>
      </c>
      <c r="C12">
        <v>0.2</v>
      </c>
      <c r="D12">
        <v>0.2</v>
      </c>
      <c r="E12">
        <v>0.25</v>
      </c>
      <c r="F12">
        <v>0.333333333333333</v>
      </c>
      <c r="G12">
        <v>0.25</v>
      </c>
      <c r="H12">
        <v>0.333333333333333</v>
      </c>
      <c r="I12">
        <v>0.5</v>
      </c>
      <c r="J12">
        <v>1</v>
      </c>
    </row>
    <row r="14" ht="17" customHeight="1" spans="1:10">
      <c r="A14" s="2" t="s">
        <v>1</v>
      </c>
      <c r="B14" s="2" t="s">
        <v>2</v>
      </c>
      <c r="C14" s="2" t="s">
        <v>3</v>
      </c>
    </row>
    <row r="15" ht="17" customHeight="1" spans="1:10">
      <c r="A15" s="4" t="s">
        <v>4</v>
      </c>
      <c r="B15" s="4" t="s">
        <v>5</v>
      </c>
      <c r="C15" s="4" t="s">
        <v>6</v>
      </c>
    </row>
    <row r="16" ht="17" customHeight="1" spans="1:10">
      <c r="A16" s="4" t="s">
        <v>7</v>
      </c>
      <c r="B16" s="4" t="s">
        <v>8</v>
      </c>
      <c r="C16" s="4" t="s">
        <v>9</v>
      </c>
    </row>
    <row r="17" ht="17" customHeight="1" spans="1:3">
      <c r="A17" s="4" t="s">
        <v>10</v>
      </c>
      <c r="B17" s="4" t="s">
        <v>11</v>
      </c>
      <c r="C17" s="4" t="s">
        <v>12</v>
      </c>
    </row>
    <row r="18" ht="17" customHeight="1" spans="1:3">
      <c r="A18" s="4" t="s">
        <v>13</v>
      </c>
      <c r="B18" s="4" t="s">
        <v>14</v>
      </c>
      <c r="C18" s="4" t="s">
        <v>15</v>
      </c>
    </row>
    <row r="19" ht="17" customHeight="1" spans="1:3">
      <c r="A19" s="4" t="s">
        <v>16</v>
      </c>
      <c r="B19" s="4" t="s">
        <v>17</v>
      </c>
      <c r="C19" s="4" t="s">
        <v>18</v>
      </c>
    </row>
    <row r="20" ht="17" customHeight="1" spans="1:3">
      <c r="A20" s="4" t="s">
        <v>19</v>
      </c>
      <c r="B20" s="4" t="s">
        <v>20</v>
      </c>
      <c r="C20" s="4" t="s">
        <v>21</v>
      </c>
    </row>
    <row r="21" ht="17" customHeight="1" spans="1:3">
      <c r="A21" s="4" t="s">
        <v>22</v>
      </c>
      <c r="B21" s="4" t="s">
        <v>23</v>
      </c>
      <c r="C21" s="4" t="s">
        <v>24</v>
      </c>
    </row>
    <row r="22" ht="17" customHeight="1" spans="1:3">
      <c r="A22" s="4" t="s">
        <v>25</v>
      </c>
      <c r="B22" s="4" t="s">
        <v>26</v>
      </c>
      <c r="C22" s="4" t="s">
        <v>27</v>
      </c>
    </row>
    <row r="23" ht="17" customHeight="1" spans="1:3">
      <c r="A23" s="4" t="s">
        <v>28</v>
      </c>
      <c r="B23" s="4" t="s">
        <v>29</v>
      </c>
      <c r="C23" s="4" t="s">
        <v>30</v>
      </c>
    </row>
  </sheetData>
  <pageMargins left="0.4" right="0.4" top="0.5" bottom="0.5" header="0.5" footer="0.5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J23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C11" sqref="C11"/>
    </sheetView>
  </sheetViews>
  <sheetFormatPr defaultColWidth="9" defaultRowHeight="16.8"/>
  <cols>
    <col min="1" max="1" width="12" customWidth="1"/>
    <col min="2" max="2" width="42" customWidth="1"/>
    <col min="3" max="3" width="70" customWidth="1"/>
    <col min="4" max="10" width="12" customWidth="1"/>
  </cols>
  <sheetData>
    <row r="1" ht="23.2" customHeight="1" spans="1:10">
      <c r="A1" s="1" t="s">
        <v>60</v>
      </c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17" customHeight="1" spans="1:10">
      <c r="A3" s="2" t="s">
        <v>53</v>
      </c>
      <c r="B3" s="7" t="s">
        <v>4</v>
      </c>
      <c r="C3" s="7" t="s">
        <v>7</v>
      </c>
      <c r="D3" s="7" t="s">
        <v>10</v>
      </c>
      <c r="E3" s="7" t="s">
        <v>13</v>
      </c>
      <c r="F3" s="7" t="s">
        <v>16</v>
      </c>
      <c r="G3" s="7" t="s">
        <v>19</v>
      </c>
      <c r="H3" s="7" t="s">
        <v>22</v>
      </c>
      <c r="I3" s="7" t="s">
        <v>25</v>
      </c>
      <c r="J3" s="7" t="s">
        <v>28</v>
      </c>
    </row>
    <row r="4" ht="17" customHeight="1" spans="1:10">
      <c r="A4" s="2" t="s">
        <v>4</v>
      </c>
      <c r="B4" s="7">
        <v>1</v>
      </c>
      <c r="C4" s="7">
        <v>1</v>
      </c>
      <c r="D4" s="7">
        <v>1</v>
      </c>
      <c r="E4" s="7">
        <v>1.5874010519682</v>
      </c>
      <c r="F4" s="7">
        <v>2</v>
      </c>
      <c r="G4" s="7">
        <v>2</v>
      </c>
      <c r="H4" s="7">
        <v>2.28942848510666</v>
      </c>
      <c r="I4" s="7">
        <v>4</v>
      </c>
      <c r="J4" s="7">
        <v>6.64939976115097</v>
      </c>
    </row>
    <row r="5" ht="17" customHeight="1" spans="1:10">
      <c r="A5" s="2" t="s">
        <v>7</v>
      </c>
      <c r="B5" s="7">
        <v>1</v>
      </c>
      <c r="C5" s="7">
        <v>1</v>
      </c>
      <c r="D5" s="7">
        <v>1</v>
      </c>
      <c r="E5" s="7">
        <v>1</v>
      </c>
      <c r="F5" s="7">
        <v>2</v>
      </c>
      <c r="G5" s="7">
        <v>1.5874010519682</v>
      </c>
      <c r="H5" s="7">
        <v>2</v>
      </c>
      <c r="I5" s="7">
        <v>3.30192724889463</v>
      </c>
      <c r="J5" s="7">
        <v>5.64621617328617</v>
      </c>
    </row>
    <row r="6" ht="17" customHeight="1" spans="1:10">
      <c r="A6" s="2" t="s">
        <v>10</v>
      </c>
      <c r="B6" s="7">
        <v>1</v>
      </c>
      <c r="C6" s="7">
        <v>1</v>
      </c>
      <c r="D6" s="7">
        <v>1</v>
      </c>
      <c r="E6" s="7">
        <v>1</v>
      </c>
      <c r="F6" s="7">
        <v>1</v>
      </c>
      <c r="G6" s="7">
        <v>1.25992104989487</v>
      </c>
      <c r="H6" s="7">
        <v>2</v>
      </c>
      <c r="I6" s="7">
        <v>3</v>
      </c>
      <c r="J6" s="7">
        <v>5</v>
      </c>
    </row>
    <row r="7" ht="17" customHeight="1" spans="1:10">
      <c r="A7" s="2" t="s">
        <v>13</v>
      </c>
      <c r="B7" s="7">
        <v>0.629960524947437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2</v>
      </c>
      <c r="J7" s="7">
        <v>4</v>
      </c>
    </row>
    <row r="8" ht="17" customHeight="1" spans="1:10">
      <c r="A8" s="2" t="s">
        <v>16</v>
      </c>
      <c r="B8" s="7">
        <v>0.5</v>
      </c>
      <c r="C8" s="7">
        <v>0.5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2</v>
      </c>
      <c r="J8" s="7">
        <v>3.30192724889463</v>
      </c>
    </row>
    <row r="9" ht="17" customHeight="1" spans="1:10">
      <c r="A9" s="2" t="s">
        <v>19</v>
      </c>
      <c r="B9" s="7">
        <v>0.5</v>
      </c>
      <c r="C9" s="7">
        <v>0.629960524947437</v>
      </c>
      <c r="D9" s="7">
        <v>0.7937005259841</v>
      </c>
      <c r="E9" s="7">
        <v>1</v>
      </c>
      <c r="F9" s="7">
        <v>1</v>
      </c>
      <c r="G9" s="7">
        <v>1</v>
      </c>
      <c r="H9" s="7">
        <v>1</v>
      </c>
      <c r="I9" s="7">
        <v>2</v>
      </c>
      <c r="J9" s="7">
        <v>3.30192724889463</v>
      </c>
    </row>
    <row r="10" ht="17" customHeight="1" spans="1:10">
      <c r="A10" s="2" t="s">
        <v>22</v>
      </c>
      <c r="B10" s="7">
        <v>0.436790232368149</v>
      </c>
      <c r="C10" s="7">
        <v>0.5</v>
      </c>
      <c r="D10" s="7">
        <v>0.5</v>
      </c>
      <c r="E10" s="7">
        <v>1</v>
      </c>
      <c r="F10" s="7">
        <v>1</v>
      </c>
      <c r="G10" s="7">
        <v>1</v>
      </c>
      <c r="H10" s="7">
        <v>1</v>
      </c>
      <c r="I10" s="7">
        <v>2</v>
      </c>
      <c r="J10" s="7">
        <v>3</v>
      </c>
    </row>
    <row r="11" ht="17" customHeight="1" spans="1:10">
      <c r="A11" s="2" t="s">
        <v>25</v>
      </c>
      <c r="B11" s="7">
        <v>0.25</v>
      </c>
      <c r="C11" s="7">
        <v>0.30285343213869</v>
      </c>
      <c r="D11" s="7">
        <v>0.333333333333333</v>
      </c>
      <c r="E11" s="7">
        <v>0.5</v>
      </c>
      <c r="F11" s="7">
        <v>0.5</v>
      </c>
      <c r="G11" s="7">
        <v>0.5</v>
      </c>
      <c r="H11" s="7">
        <v>0.5</v>
      </c>
      <c r="I11" s="7">
        <v>1</v>
      </c>
      <c r="J11" s="7">
        <v>2</v>
      </c>
    </row>
    <row r="12" spans="1:10">
      <c r="A12" t="s">
        <v>28</v>
      </c>
      <c r="B12">
        <v>0.150389514229914</v>
      </c>
      <c r="C12">
        <v>0.177109761530435</v>
      </c>
      <c r="D12">
        <v>0.2</v>
      </c>
      <c r="E12">
        <v>0.25</v>
      </c>
      <c r="F12">
        <v>0.30285343213869</v>
      </c>
      <c r="G12">
        <v>0.30285343213869</v>
      </c>
      <c r="H12">
        <v>0.333333333333333</v>
      </c>
      <c r="I12">
        <v>0.5</v>
      </c>
      <c r="J12">
        <v>1</v>
      </c>
    </row>
    <row r="14" ht="17" customHeight="1" spans="1:10">
      <c r="A14" s="2" t="s">
        <v>1</v>
      </c>
      <c r="B14" s="2" t="s">
        <v>2</v>
      </c>
      <c r="C14" s="2" t="s">
        <v>3</v>
      </c>
    </row>
    <row r="15" ht="17" customHeight="1" spans="1:10">
      <c r="A15" s="4" t="s">
        <v>4</v>
      </c>
      <c r="B15" s="4" t="s">
        <v>5</v>
      </c>
      <c r="C15" s="4" t="s">
        <v>6</v>
      </c>
    </row>
    <row r="16" ht="17" customHeight="1" spans="1:10">
      <c r="A16" s="4" t="s">
        <v>7</v>
      </c>
      <c r="B16" s="4" t="s">
        <v>8</v>
      </c>
      <c r="C16" s="4" t="s">
        <v>9</v>
      </c>
    </row>
    <row r="17" ht="17" customHeight="1" spans="1:3">
      <c r="A17" s="4" t="s">
        <v>10</v>
      </c>
      <c r="B17" s="4" t="s">
        <v>11</v>
      </c>
      <c r="C17" s="4" t="s">
        <v>12</v>
      </c>
    </row>
    <row r="18" ht="17" customHeight="1" spans="1:3">
      <c r="A18" s="4" t="s">
        <v>13</v>
      </c>
      <c r="B18" s="4" t="s">
        <v>14</v>
      </c>
      <c r="C18" s="4" t="s">
        <v>15</v>
      </c>
    </row>
    <row r="19" ht="17" customHeight="1" spans="1:3">
      <c r="A19" s="4" t="s">
        <v>16</v>
      </c>
      <c r="B19" s="4" t="s">
        <v>17</v>
      </c>
      <c r="C19" s="4" t="s">
        <v>18</v>
      </c>
    </row>
    <row r="20" ht="17" customHeight="1" spans="1:3">
      <c r="A20" s="4" t="s">
        <v>19</v>
      </c>
      <c r="B20" s="4" t="s">
        <v>20</v>
      </c>
      <c r="C20" s="4" t="s">
        <v>21</v>
      </c>
    </row>
    <row r="21" ht="17" customHeight="1" spans="1:3">
      <c r="A21" s="4" t="s">
        <v>22</v>
      </c>
      <c r="B21" s="4" t="s">
        <v>23</v>
      </c>
      <c r="C21" s="4" t="s">
        <v>24</v>
      </c>
    </row>
    <row r="22" ht="17" customHeight="1" spans="1:3">
      <c r="A22" s="4" t="s">
        <v>25</v>
      </c>
      <c r="B22" s="4" t="s">
        <v>26</v>
      </c>
      <c r="C22" s="4" t="s">
        <v>27</v>
      </c>
    </row>
    <row r="23" ht="17" customHeight="1" spans="1:3">
      <c r="A23" s="4" t="s">
        <v>28</v>
      </c>
      <c r="B23" s="4" t="s">
        <v>29</v>
      </c>
      <c r="C23" s="4" t="s">
        <v>30</v>
      </c>
    </row>
  </sheetData>
  <pageMargins left="0.4" right="0.4" top="0.5" bottom="0.5" header="0.5" footer="0.5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1:G20"/>
  <sheetViews>
    <sheetView showGridLines="0" workbookViewId="0">
      <pane ySplit="2" topLeftCell="A3" activePane="bottomLeft" state="frozen"/>
      <selection/>
      <selection pane="bottomLeft" activeCell="D26" sqref="D26"/>
    </sheetView>
  </sheetViews>
  <sheetFormatPr defaultColWidth="9" defaultRowHeight="16.8" outlineLevelCol="6"/>
  <cols>
    <col min="1" max="1" width="10" customWidth="1"/>
    <col min="2" max="2" width="42" customWidth="1"/>
    <col min="3" max="3" width="70" customWidth="1"/>
    <col min="4" max="6" width="16" customWidth="1"/>
    <col min="7" max="7" width="22" customWidth="1"/>
  </cols>
  <sheetData>
    <row r="1" ht="23.2" customHeight="1" spans="1:7">
      <c r="A1" s="1" t="s">
        <v>61</v>
      </c>
    </row>
    <row r="2" spans="1:7">
      <c r="A2" s="2"/>
      <c r="B2" s="2"/>
      <c r="C2" s="2"/>
      <c r="D2" s="2"/>
      <c r="E2" s="2"/>
      <c r="F2" s="2"/>
    </row>
    <row r="3" ht="34" customHeight="1" spans="1:7">
      <c r="A3" s="7" t="s">
        <v>62</v>
      </c>
      <c r="B3" s="8" t="s">
        <v>63</v>
      </c>
      <c r="C3" s="8" t="s">
        <v>64</v>
      </c>
      <c r="D3" s="8" t="s">
        <v>65</v>
      </c>
      <c r="E3" s="8" t="s">
        <v>66</v>
      </c>
      <c r="F3" s="7" t="s">
        <v>67</v>
      </c>
    </row>
    <row r="4" ht="17" customHeight="1" spans="1:7">
      <c r="A4" s="7" t="s">
        <v>57</v>
      </c>
      <c r="B4" s="8">
        <v>9.1060048878902</v>
      </c>
      <c r="C4" s="8">
        <v>0.0132506109862751</v>
      </c>
      <c r="D4" s="8">
        <v>1.45</v>
      </c>
      <c r="E4" s="8">
        <v>0.00913835240432766</v>
      </c>
      <c r="F4" s="7" t="b">
        <v>1</v>
      </c>
    </row>
    <row r="5" ht="17" customHeight="1" spans="1:7">
      <c r="A5" s="7" t="s">
        <v>58</v>
      </c>
      <c r="B5" s="8">
        <v>9.10987154612029</v>
      </c>
      <c r="C5" s="8">
        <v>0.0137339432650363</v>
      </c>
      <c r="D5" s="8">
        <v>1.45</v>
      </c>
      <c r="E5" s="8">
        <v>0.00947168501036986</v>
      </c>
      <c r="F5" s="7" t="b">
        <v>1</v>
      </c>
    </row>
    <row r="6" ht="17" customHeight="1" spans="1:7">
      <c r="A6" s="7" t="s">
        <v>59</v>
      </c>
      <c r="B6" s="8">
        <v>9.12405650265928</v>
      </c>
      <c r="C6" s="8">
        <v>0.0155070628324097</v>
      </c>
      <c r="D6" s="8">
        <v>1.45</v>
      </c>
      <c r="E6" s="8">
        <v>0.010694526091317</v>
      </c>
      <c r="F6" s="7" t="b">
        <v>1</v>
      </c>
    </row>
    <row r="7" spans="1:7">
      <c r="A7" t="s">
        <v>60</v>
      </c>
      <c r="B7">
        <v>9.08150748560355</v>
      </c>
      <c r="C7">
        <v>0.0101884357004434</v>
      </c>
      <c r="D7">
        <v>1.45</v>
      </c>
      <c r="E7">
        <v>0.00702650737961611</v>
      </c>
      <c r="F7" t="b">
        <v>1</v>
      </c>
    </row>
    <row r="10" ht="17.6" customHeight="1" spans="1:7">
      <c r="A10" s="9" t="s">
        <v>68</v>
      </c>
    </row>
    <row r="11" ht="17" customHeight="1" spans="1:7">
      <c r="A11" s="2" t="s">
        <v>1</v>
      </c>
      <c r="B11" s="2" t="s">
        <v>2</v>
      </c>
      <c r="C11" s="2" t="s">
        <v>3</v>
      </c>
      <c r="D11" s="2" t="s">
        <v>57</v>
      </c>
      <c r="E11" s="2" t="s">
        <v>58</v>
      </c>
      <c r="F11" s="2" t="s">
        <v>59</v>
      </c>
      <c r="G11" s="2" t="s">
        <v>60</v>
      </c>
    </row>
    <row r="12" ht="17" customHeight="1" spans="1:7">
      <c r="A12" s="4" t="s">
        <v>4</v>
      </c>
      <c r="B12" s="4" t="s">
        <v>5</v>
      </c>
      <c r="C12" s="4" t="s">
        <v>6</v>
      </c>
      <c r="D12" s="10">
        <v>0.191547293958858</v>
      </c>
      <c r="E12" s="10">
        <v>0.174319817361192</v>
      </c>
      <c r="F12" s="10">
        <v>0.201492918716815</v>
      </c>
      <c r="G12" s="10">
        <v>0.188732496797422</v>
      </c>
    </row>
    <row r="13" ht="17" customHeight="1" spans="1:7">
      <c r="A13" s="4" t="s">
        <v>7</v>
      </c>
      <c r="B13" s="4" t="s">
        <v>8</v>
      </c>
      <c r="C13" s="4" t="s">
        <v>9</v>
      </c>
      <c r="D13" s="10">
        <v>0.170061543864466</v>
      </c>
      <c r="E13" s="10">
        <v>0.174319817361192</v>
      </c>
      <c r="F13" s="10">
        <v>0.154666788875222</v>
      </c>
      <c r="G13" s="10">
        <v>0.166328045686198</v>
      </c>
    </row>
    <row r="14" ht="17" customHeight="1" spans="1:7">
      <c r="A14" s="4" t="s">
        <v>10</v>
      </c>
      <c r="B14" s="4" t="s">
        <v>11</v>
      </c>
      <c r="C14" s="4" t="s">
        <v>12</v>
      </c>
      <c r="D14" s="10">
        <v>0.1444086202998</v>
      </c>
      <c r="E14" s="10">
        <v>0.154066029301529</v>
      </c>
      <c r="F14" s="10">
        <v>0.143480705277547</v>
      </c>
      <c r="G14" s="10">
        <v>0.147440967094696</v>
      </c>
    </row>
    <row r="15" ht="17" customHeight="1" spans="1:7">
      <c r="A15" s="4" t="s">
        <v>13</v>
      </c>
      <c r="B15" s="4" t="s">
        <v>14</v>
      </c>
      <c r="C15" s="4" t="s">
        <v>15</v>
      </c>
      <c r="D15" s="10">
        <v>0.114656286144443</v>
      </c>
      <c r="E15" s="10">
        <v>0.124769080368992</v>
      </c>
      <c r="F15" s="10">
        <v>0.113710843532921</v>
      </c>
      <c r="G15" s="10">
        <v>0.117701198768867</v>
      </c>
    </row>
    <row r="16" ht="17" customHeight="1" spans="1:7">
      <c r="A16" s="4" t="s">
        <v>16</v>
      </c>
      <c r="B16" s="4" t="s">
        <v>17</v>
      </c>
      <c r="C16" s="4" t="s">
        <v>18</v>
      </c>
      <c r="D16" s="10">
        <v>0.102087501233517</v>
      </c>
      <c r="E16" s="10">
        <v>0.105633814138434</v>
      </c>
      <c r="F16" s="10">
        <v>0.102062458788654</v>
      </c>
      <c r="G16" s="10">
        <v>0.103599350795446</v>
      </c>
    </row>
    <row r="17" ht="17" customHeight="1" spans="1:7">
      <c r="A17" s="4" t="s">
        <v>19</v>
      </c>
      <c r="B17" s="4" t="s">
        <v>20</v>
      </c>
      <c r="C17" s="4" t="s">
        <v>21</v>
      </c>
      <c r="D17" s="10">
        <v>0.102087501233517</v>
      </c>
      <c r="E17" s="10">
        <v>0.0940079240306109</v>
      </c>
      <c r="F17" s="10">
        <v>0.113710843532921</v>
      </c>
      <c r="G17" s="10">
        <v>0.102630248050871</v>
      </c>
    </row>
    <row r="18" ht="17" customHeight="1" spans="1:7">
      <c r="A18" s="4" t="s">
        <v>22</v>
      </c>
      <c r="B18" s="4" t="s">
        <v>23</v>
      </c>
      <c r="C18" s="4" t="s">
        <v>24</v>
      </c>
      <c r="D18" s="10">
        <v>0.0941581940303199</v>
      </c>
      <c r="E18" s="10">
        <v>0.0940079240306109</v>
      </c>
      <c r="F18" s="10">
        <v>0.0905190728256734</v>
      </c>
      <c r="G18" s="10">
        <v>0.0931977302685189</v>
      </c>
    </row>
    <row r="19" ht="17" customHeight="1" spans="1:7">
      <c r="A19" s="4" t="s">
        <v>25</v>
      </c>
      <c r="B19" s="4" t="s">
        <v>26</v>
      </c>
      <c r="C19" s="4" t="s">
        <v>27</v>
      </c>
      <c r="D19" s="10">
        <v>0.0515724143335866</v>
      </c>
      <c r="E19" s="10">
        <v>0.0499982425666216</v>
      </c>
      <c r="F19" s="10">
        <v>0.0514092423164561</v>
      </c>
      <c r="G19" s="10">
        <v>0.0511835479448468</v>
      </c>
    </row>
    <row r="20" ht="17" customHeight="1" spans="1:7">
      <c r="A20" s="4" t="s">
        <v>28</v>
      </c>
      <c r="B20" s="4" t="s">
        <v>29</v>
      </c>
      <c r="C20" s="4" t="s">
        <v>30</v>
      </c>
      <c r="D20" s="10">
        <v>0.0294206449014916</v>
      </c>
      <c r="E20" s="10">
        <v>0.0288773508408174</v>
      </c>
      <c r="F20" s="10">
        <v>0.0289471261337901</v>
      </c>
      <c r="G20" s="10">
        <v>0.0291864145931348</v>
      </c>
    </row>
  </sheetData>
  <pageMargins left="0.4" right="0.4" top="0.5" bottom="0.5" header="0.5" footer="0.5"/>
  <pageSetup paperSize="1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1:F12"/>
  <sheetViews>
    <sheetView showGridLines="0" tabSelected="1" workbookViewId="0">
      <selection activeCell="D14" sqref="D14"/>
    </sheetView>
  </sheetViews>
  <sheetFormatPr defaultColWidth="9" defaultRowHeight="16.8" outlineLevelCol="5"/>
  <cols>
    <col min="1" max="1" width="8" customWidth="1"/>
    <col min="2" max="2" width="10" customWidth="1"/>
    <col min="3" max="3" width="42" customWidth="1"/>
    <col min="4" max="4" width="70" customWidth="1"/>
    <col min="5" max="5" width="14" customWidth="1"/>
    <col min="6" max="6" width="16" customWidth="1"/>
  </cols>
  <sheetData>
    <row r="1" ht="23.2" customHeight="1" spans="1:6">
      <c r="A1" s="1" t="s">
        <v>69</v>
      </c>
    </row>
    <row r="2" spans="1:6">
      <c r="A2" s="2"/>
      <c r="B2" s="2"/>
      <c r="C2" s="2"/>
      <c r="D2" s="2"/>
      <c r="E2" s="2"/>
      <c r="F2" s="2"/>
    </row>
    <row r="3" ht="17" customHeight="1" spans="1:6">
      <c r="A3" s="3" t="s">
        <v>70</v>
      </c>
      <c r="B3" s="3" t="s">
        <v>1</v>
      </c>
      <c r="C3" s="4" t="s">
        <v>2</v>
      </c>
      <c r="D3" s="4" t="s">
        <v>3</v>
      </c>
      <c r="E3" s="5" t="s">
        <v>71</v>
      </c>
      <c r="F3" s="6" t="s">
        <v>72</v>
      </c>
    </row>
    <row r="4" ht="17" customHeight="1" spans="1:6">
      <c r="A4" s="3">
        <v>1</v>
      </c>
      <c r="B4" s="3" t="s">
        <v>4</v>
      </c>
      <c r="C4" s="4" t="s">
        <v>5</v>
      </c>
      <c r="D4" s="4" t="s">
        <v>6</v>
      </c>
      <c r="E4" s="5">
        <v>0.188732496797422</v>
      </c>
      <c r="F4" s="6">
        <v>18.8732496797422</v>
      </c>
    </row>
    <row r="5" ht="17" customHeight="1" spans="1:6">
      <c r="A5" s="3">
        <v>2</v>
      </c>
      <c r="B5" s="3" t="s">
        <v>7</v>
      </c>
      <c r="C5" s="4" t="s">
        <v>8</v>
      </c>
      <c r="D5" s="4" t="s">
        <v>9</v>
      </c>
      <c r="E5" s="5">
        <v>0.166328045686198</v>
      </c>
      <c r="F5" s="6">
        <v>16.6328045686198</v>
      </c>
    </row>
    <row r="6" ht="17" customHeight="1" spans="1:6">
      <c r="A6" s="3">
        <v>3</v>
      </c>
      <c r="B6" s="3" t="s">
        <v>10</v>
      </c>
      <c r="C6" s="4" t="s">
        <v>11</v>
      </c>
      <c r="D6" s="4" t="s">
        <v>12</v>
      </c>
      <c r="E6" s="5">
        <v>0.147440967094696</v>
      </c>
      <c r="F6" s="6">
        <v>14.7440967094696</v>
      </c>
    </row>
    <row r="7" ht="17" customHeight="1" spans="1:6">
      <c r="A7" s="3">
        <v>4</v>
      </c>
      <c r="B7" s="3" t="s">
        <v>13</v>
      </c>
      <c r="C7" s="4" t="s">
        <v>14</v>
      </c>
      <c r="D7" s="4" t="s">
        <v>15</v>
      </c>
      <c r="E7" s="5">
        <v>0.117701198768867</v>
      </c>
      <c r="F7" s="6">
        <v>11.7701198768867</v>
      </c>
    </row>
    <row r="8" ht="17" customHeight="1" spans="1:6">
      <c r="A8" s="3">
        <v>5</v>
      </c>
      <c r="B8" s="3" t="s">
        <v>16</v>
      </c>
      <c r="C8" s="4" t="s">
        <v>17</v>
      </c>
      <c r="D8" s="4" t="s">
        <v>18</v>
      </c>
      <c r="E8" s="5">
        <v>0.103599350795446</v>
      </c>
      <c r="F8" s="6">
        <v>10.3599350795446</v>
      </c>
    </row>
    <row r="9" ht="17" customHeight="1" spans="1:6">
      <c r="A9" s="3">
        <v>6</v>
      </c>
      <c r="B9" s="3" t="s">
        <v>19</v>
      </c>
      <c r="C9" s="4" t="s">
        <v>20</v>
      </c>
      <c r="D9" s="4" t="s">
        <v>21</v>
      </c>
      <c r="E9" s="5">
        <v>0.102630248050871</v>
      </c>
      <c r="F9" s="6">
        <v>10.2630248050872</v>
      </c>
    </row>
    <row r="10" ht="17" customHeight="1" spans="1:6">
      <c r="A10" s="3">
        <v>7</v>
      </c>
      <c r="B10" s="3" t="s">
        <v>22</v>
      </c>
      <c r="C10" s="4" t="s">
        <v>23</v>
      </c>
      <c r="D10" s="4" t="s">
        <v>24</v>
      </c>
      <c r="E10" s="5">
        <v>0.0931977302685189</v>
      </c>
      <c r="F10" s="6">
        <v>9.31977302685189</v>
      </c>
    </row>
    <row r="11" ht="17" customHeight="1" spans="1:6">
      <c r="A11" s="3">
        <v>8</v>
      </c>
      <c r="B11" s="3" t="s">
        <v>25</v>
      </c>
      <c r="C11" s="4" t="s">
        <v>26</v>
      </c>
      <c r="D11" s="4" t="s">
        <v>27</v>
      </c>
      <c r="E11" s="5">
        <v>0.0511835479448468</v>
      </c>
      <c r="F11" s="6">
        <v>5.11835479448468</v>
      </c>
    </row>
    <row r="12" spans="1:6">
      <c r="A12">
        <v>9</v>
      </c>
      <c r="B12" t="s">
        <v>28</v>
      </c>
      <c r="C12" t="s">
        <v>29</v>
      </c>
      <c r="D12" t="s">
        <v>30</v>
      </c>
      <c r="E12">
        <v>0.0291864145931348</v>
      </c>
      <c r="F12">
        <v>2.91864145931347</v>
      </c>
    </row>
  </sheetData>
  <pageMargins left="0.4" right="0.4" top="0.5" bottom="0.5" header="0.5" footer="0.5"/>
  <pageSetup paperSize="1" orientation="landscape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 Compatible / Openpyxl 3.1.5</ns0:Application>
  <ns0:HeadingPairs>
    <ns1:vector size="2" baseType="variant">
      <ns1:variant>
        <ns1:lpstr>工作表</ns1:lpstr>
      </ns1:variant>
      <ns1:variant>
        <ns1:i4>11</ns1:i4>
      </ns1:variant>
    </ns1:vector>
  </ns0:HeadingPairs>
  <ns0:TitlesOfParts>
    <ns1:vector size="11" baseType="lpstr">
      <ns1:lpstr>Risk_themes</ns1:lpstr>
      <ns1:lpstr>Saaty_scale</ns1:lpstr>
      <ns1:lpstr>Expert_1_blank</ns1:lpstr>
      <ns1:lpstr>Expert_2_blank</ns1:lpstr>
      <ns1:lpstr>Expert_3_blank</ns1:lpstr>
      <ns1:lpstr>expert_1</ns1:lpstr>
      <ns1:lpstr>expert_2</ns1:lpstr>
      <ns1:lpstr>expert_3</ns1:lpstr>
      <ns1:lpstr>Current_group_geometric_mean</ns1:lpstr>
      <ns1:lpstr>Weights_and_CR</ns1:lpstr>
      <ns1:lpstr>Final_group_weights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Study team</dc:creator>
  <ns0:lastModifiedBy>Study team</ns0:lastModifiedBy>
  <ns2:created xsi:type="dcterms:W3CDTF">2026-06-28T07:40:00Z</ns2:created>
  <ns2:modified xsi:type="dcterms:W3CDTF">2026-07-01T10:34:04Z</ns2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F1EC68E424825A7B777F3F6A1249A770_42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